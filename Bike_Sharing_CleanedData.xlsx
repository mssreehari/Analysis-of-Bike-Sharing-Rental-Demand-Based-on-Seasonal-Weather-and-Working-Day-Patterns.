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h\Downloads\bike+sharing+dataset\"/>
    </mc:Choice>
  </mc:AlternateContent>
  <xr:revisionPtr revIDLastSave="0" documentId="13_ncr:1_{797EF261-3566-4EFA-B261-2640AC304C0D}" xr6:coauthVersionLast="47" xr6:coauthVersionMax="47" xr10:uidLastSave="{00000000-0000-0000-0000-000000000000}"/>
  <bookViews>
    <workbookView xWindow="-108" yWindow="-108" windowWidth="23256" windowHeight="12456" xr2:uid="{EA11E9BB-5856-415F-AD02-F13733F031B8}"/>
  </bookViews>
  <sheets>
    <sheet name="Cleaned_Data" sheetId="2" r:id="rId1"/>
    <sheet name="Raw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2" l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</calcChain>
</file>

<file path=xl/sharedStrings.xml><?xml version="1.0" encoding="utf-8"?>
<sst xmlns="http://schemas.openxmlformats.org/spreadsheetml/2006/main" count="45" uniqueCount="29">
  <si>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</si>
  <si>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</si>
  <si>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</si>
  <si>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</si>
  <si>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</si>
  <si>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</si>
  <si>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</si>
  <si>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</si>
  <si>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</si>
  <si>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</si>
  <si>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</si>
  <si>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</si>
  <si>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</si>
  <si>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</si>
  <si>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</si>
  <si>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</si>
  <si>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RentalCheck</t>
  </si>
  <si>
    <t>Year</t>
  </si>
  <si>
    <t>Season2</t>
  </si>
  <si>
    <t>Month Name</t>
  </si>
  <si>
    <t>Day Type</t>
  </si>
  <si>
    <t>Weekday Name</t>
  </si>
  <si>
    <t>WeatherCondition</t>
  </si>
  <si>
    <t>Excel Data Cleaning Summary</t>
  </si>
  <si>
    <t>1. Preserved the original dataset and created a cleaned worksheet.</t>
  </si>
  <si>
    <t>2. Checked for duplicates, missing values, and invalid data.</t>
  </si>
  <si>
    <t>3. Validated rental counts and category codes.</t>
  </si>
  <si>
    <t>4. Created calculated columns for year, season, month, weekday, day type, and weather.</t>
  </si>
  <si>
    <r>
      <t>Outcome:</t>
    </r>
    <r>
      <rPr>
        <sz val="11"/>
        <color theme="1"/>
        <rFont val="Aptos Narrow"/>
        <family val="2"/>
        <scheme val="minor"/>
      </rPr>
      <t xml:space="preserve"> The dataset is cleaned, validated, and prepared for Power BI 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</si>
</sst>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C37AC5-5B87-4325-96B4-3D9280E6EB87}" name="BikeData" displayName="BikeData" ref="A1:W732" totalsRowShown="0">
  <autoFilter ref="A1:W732" xr:uid="{B5C37AC5-5B87-4325-96B4-3D9280E6EB87}"/>
  <tableColumns count="23">
    <tableColumn id="1" xr3:uid="{B527FFC4-8140-461D-AD49-946B0E8CC2CD}" name="instant"/>
    <tableColumn id="2" xr3:uid="{BC652399-7C49-4066-ACC9-547614EA3F6F}" name="dteday" dataDxfId="9"/>
    <tableColumn id="3" xr3:uid="{3F8FC051-F72A-497A-80FA-EACE04EEA91C}" name="season"/>
    <tableColumn id="4" xr3:uid="{9407A62B-9438-45E9-A367-AB1DDCA6DBAF}" name="yr"/>
    <tableColumn id="5" xr3:uid="{6A00638F-9E23-4DDC-94A0-BECC165EE592}" name="mnth"/>
    <tableColumn id="6" xr3:uid="{2A8C861B-58B5-4709-B4D0-113E0A5C69F8}" name="holiday"/>
    <tableColumn id="7" xr3:uid="{CB110314-1084-48D7-B23E-4DADA39304B5}" name="weekday"/>
    <tableColumn id="8" xr3:uid="{F0BD6791-41C3-4142-8853-843C3879F0CA}" name="workingday"/>
    <tableColumn id="9" xr3:uid="{362696BE-B195-4C55-9AC7-EF1962616A5C}" name="weathersit"/>
    <tableColumn id="10" xr3:uid="{470558F1-5B1E-4440-A3B1-0892123ECE23}" name="temp"/>
    <tableColumn id="11" xr3:uid="{ED5DF230-9FBA-4AB2-8380-29452BF61A7C}" name="atemp"/>
    <tableColumn id="12" xr3:uid="{199B28A4-2122-4A81-BB0F-5108460C0441}" name="hum"/>
    <tableColumn id="13" xr3:uid="{771B0368-0275-44DC-AEEF-43DB1A11116E}" name="windspeed"/>
    <tableColumn id="14" xr3:uid="{73F931B0-95E1-4A1E-BC76-51CF15177F68}" name="casual"/>
    <tableColumn id="15" xr3:uid="{743C71A9-BDE3-4E60-99EF-F82952F201A6}" name="registered"/>
    <tableColumn id="16" xr3:uid="{BEFAC112-043D-431F-A7A7-3A1B6FEEAA56}" name="cnt"/>
    <tableColumn id="17" xr3:uid="{8DB67347-B4F5-40C8-949F-6C5CEFD8AF96}" name="RentalCheck" dataDxfId="8">
      <calculatedColumnFormula>IF(BikeData[[#This Row],[casual]]+BikeData[[#This Row],[registered]]=BikeData[[#This Row],[cnt]],"OK","Check")</calculatedColumnFormula>
    </tableColumn>
    <tableColumn id="18" xr3:uid="{136960BD-B831-482C-9581-7723F2BD10D5}" name="Year" dataDxfId="7">
      <calculatedColumnFormula>IF(BikeData[[#This Row],[yr]]=0,2011,2012)</calculatedColumnFormula>
    </tableColumn>
    <tableColumn id="19" xr3:uid="{88076476-2CD5-4931-B313-6E0B9B92DB32}" name="Season2" dataDxfId="6">
      <calculatedColumnFormula>CHOOSE(BikeData[[#This Row],[season]],"Winter","Spring","Summer","Fall")</calculatedColumnFormula>
    </tableColumn>
    <tableColumn id="20" xr3:uid="{F57E3651-90E4-435C-85E9-A76F849AC7E5}" name="Month Name" dataDxfId="5">
      <calculatedColumnFormula>TEXT(DATE(2000,BikeData[[#This Row],[mnth]],1),"mmmm")</calculatedColumnFormula>
    </tableColumn>
    <tableColumn id="21" xr3:uid="{223E1AE0-CCA1-46C0-84A9-3E5DA290A240}" name="Day Type" dataDxfId="4">
      <calculatedColumnFormula>IF(BikeData[[#This Row],[workingday]]=1,"Working Day","Non-working Day")</calculatedColumnFormula>
    </tableColumn>
    <tableColumn id="22" xr3:uid="{30D258D7-D7B9-45E9-B766-E14949FD0872}" name="Weekday Name" dataDxfId="3">
      <calculatedColumnFormula>CHOOSE(BikeData[[#This Row],[weekday]]+1,"Sunday","Monday","Tuesday","Wednesday","Thursday","Friday","Saturday")</calculatedColumnFormula>
    </tableColumn>
    <tableColumn id="23" xr3:uid="{9E888231-A7BD-45C2-99E0-70004295BE6B}" name="WeatherCondition" dataDxfId="2">
      <calculatedColumnFormula>CHOOSE(BikeData[[#This Row],[weathersit]],"Clear / Few Clouds","Mist / Cloudy","Light Rain / Snow","Heavy Rain / Snow")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254369-7E11-418B-9A9C-753EAE6BFA28}" name="summary" displayName="summary" ref="Y6:AF18" headerRowCount="0" totalsRowShown="0">
  <tableColumns count="8">
    <tableColumn id="1" xr3:uid="{820EFAB6-AE61-4682-A252-0A513A965233}" name="Column1" headerRowDxfId="1" dataDxfId="0"/>
    <tableColumn id="2" xr3:uid="{7526E39B-A392-48CF-92B2-A32D7F8F4A47}" name="Column2"/>
    <tableColumn id="3" xr3:uid="{6C87A864-B553-4FF2-BC61-88248BACD5F1}" name="Column3"/>
    <tableColumn id="4" xr3:uid="{2D9D6487-4521-4CC2-B0BD-BEF8C25276FC}" name="Column4"/>
    <tableColumn id="5" xr3:uid="{6B0BE093-2066-4912-9FA1-5E3B2D3890F1}" name="Column5"/>
    <tableColumn id="6" xr3:uid="{1379203C-CB74-4D84-849D-91D4DBD400D4}" name="Column6"/>
    <tableColumn id="7" xr3:uid="{65244CA8-FD1E-474E-B95B-D1CF869D3F58}" name="Column7"/>
    <tableColumn id="8" xr3:uid="{AE7EAE70-546D-41A4-8E0C-D41FE1CE2ABF}" name="Column8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7BD8-B39E-479D-B31E-2B3CFFBA5B38}">
  <dimension ref="A1:Y732"/>
  <sheetViews>
    <sheetView tabSelected="1" topLeftCell="H1" workbookViewId="0">
      <selection activeCell="AA22" sqref="AA22"/>
    </sheetView>
  </sheetViews>
  <sheetFormatPr defaultRowHeight="14.4" x14ac:dyDescent="0.3"/>
  <cols>
    <col min="2" max="2" width="10.33203125" bestFit="1" customWidth="1"/>
    <col min="6" max="6" width="9" customWidth="1"/>
    <col min="7" max="7" width="10.21875" customWidth="1"/>
    <col min="8" max="8" width="12.33203125" customWidth="1"/>
    <col min="9" max="9" width="11.6640625" customWidth="1"/>
    <col min="13" max="13" width="12" customWidth="1"/>
    <col min="15" max="15" width="11.33203125" customWidth="1"/>
    <col min="17" max="17" width="12.21875" customWidth="1"/>
    <col min="21" max="21" width="19.21875" customWidth="1"/>
    <col min="22" max="22" width="17.21875" customWidth="1"/>
    <col min="23" max="23" width="21.109375" customWidth="1"/>
    <col min="25" max="25" width="12.6640625" customWidth="1"/>
    <col min="26" max="32" width="10.332031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5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>
        <v>0.344167</v>
      </c>
      <c r="K2">
        <v>0.36362499999999998</v>
      </c>
      <c r="L2">
        <v>0.80583300000000002</v>
      </c>
      <c r="M2">
        <v>0.16044600000000001</v>
      </c>
      <c r="N2">
        <v>331</v>
      </c>
      <c r="O2">
        <v>654</v>
      </c>
      <c r="P2">
        <v>985</v>
      </c>
      <c r="Q2" t="str">
        <f>IF(BikeData[[#This Row],[casual]]+BikeData[[#This Row],[registered]]=BikeData[[#This Row],[cnt]],"OK","Check")</f>
        <v>OK</v>
      </c>
      <c r="R2">
        <f>IF(BikeData[[#This Row],[yr]]=0,2011,2012)</f>
        <v>2011</v>
      </c>
      <c r="S2" t="str">
        <f>CHOOSE(BikeData[[#This Row],[season]],"Winter","Spring","Summer","Fall")</f>
        <v>Winter</v>
      </c>
      <c r="T2" t="str">
        <f>TEXT(DATE(2000,BikeData[[#This Row],[mnth]],1),"mmmm")</f>
        <v>January</v>
      </c>
      <c r="U2" t="str">
        <f>IF(BikeData[[#This Row],[workingday]]=1,"Working Day","Non-working Day")</f>
        <v>Non-working Day</v>
      </c>
      <c r="V2" t="str">
        <f>CHOOSE(BikeData[[#This Row],[weekday]]+1,"Sunday","Monday","Tuesday","Wednesday","Thursday","Friday","Saturday")</f>
        <v>Saturday</v>
      </c>
      <c r="W2" t="str">
        <f>CHOOSE(BikeData[[#This Row],[weathersit]],"Clear / Few Clouds","Mist / Cloudy","Light Rain / Snow","Heavy Rain / Snow")</f>
        <v>Mist / Cloudy</v>
      </c>
    </row>
    <row r="3" spans="1:25" x14ac:dyDescent="0.3">
      <c r="A3">
        <v>2</v>
      </c>
      <c r="B3" s="1">
        <v>40545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0.36347800000000002</v>
      </c>
      <c r="K3">
        <v>0.35373900000000003</v>
      </c>
      <c r="L3">
        <v>0.69608700000000001</v>
      </c>
      <c r="M3">
        <v>0.24853900000000001</v>
      </c>
      <c r="N3">
        <v>131</v>
      </c>
      <c r="O3">
        <v>670</v>
      </c>
      <c r="P3">
        <v>801</v>
      </c>
      <c r="Q3" t="str">
        <f>IF(BikeData[[#This Row],[casual]]+BikeData[[#This Row],[registered]]=BikeData[[#This Row],[cnt]],"OK","Check")</f>
        <v>OK</v>
      </c>
      <c r="R3">
        <f>IF(BikeData[[#This Row],[yr]]=0,2011,2012)</f>
        <v>2011</v>
      </c>
      <c r="S3" t="str">
        <f>CHOOSE(BikeData[[#This Row],[season]],"Winter","Spring","Summer","Fall")</f>
        <v>Winter</v>
      </c>
      <c r="T3" t="str">
        <f>TEXT(DATE(2000,BikeData[[#This Row],[mnth]],1),"mmmm")</f>
        <v>January</v>
      </c>
      <c r="U3" t="str">
        <f>IF(BikeData[[#This Row],[workingday]]=1,"Working Day","Non-working Day")</f>
        <v>Non-working Day</v>
      </c>
      <c r="V3" t="str">
        <f>CHOOSE(BikeData[[#This Row],[weekday]]+1,"Sunday","Monday","Tuesday","Wednesday","Thursday","Friday","Saturday")</f>
        <v>Sunday</v>
      </c>
      <c r="W3" t="str">
        <f>CHOOSE(BikeData[[#This Row],[weathersit]],"Clear / Few Clouds","Mist / Cloudy","Light Rain / Snow","Heavy Rain / Snow")</f>
        <v>Mist / Cloudy</v>
      </c>
    </row>
    <row r="4" spans="1:25" x14ac:dyDescent="0.3">
      <c r="A4">
        <v>3</v>
      </c>
      <c r="B4" s="1">
        <v>40546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0.19636400000000001</v>
      </c>
      <c r="K4">
        <v>0.18940499999999999</v>
      </c>
      <c r="L4">
        <v>0.43727300000000002</v>
      </c>
      <c r="M4">
        <v>0.248309</v>
      </c>
      <c r="N4">
        <v>120</v>
      </c>
      <c r="O4">
        <v>1229</v>
      </c>
      <c r="P4">
        <v>1349</v>
      </c>
      <c r="Q4" t="str">
        <f>IF(BikeData[[#This Row],[casual]]+BikeData[[#This Row],[registered]]=BikeData[[#This Row],[cnt]],"OK","Check")</f>
        <v>OK</v>
      </c>
      <c r="R4">
        <f>IF(BikeData[[#This Row],[yr]]=0,2011,2012)</f>
        <v>2011</v>
      </c>
      <c r="S4" t="str">
        <f>CHOOSE(BikeData[[#This Row],[season]],"Winter","Spring","Summer","Fall")</f>
        <v>Winter</v>
      </c>
      <c r="T4" t="str">
        <f>TEXT(DATE(2000,BikeData[[#This Row],[mnth]],1),"mmmm")</f>
        <v>January</v>
      </c>
      <c r="U4" t="str">
        <f>IF(BikeData[[#This Row],[workingday]]=1,"Working Day","Non-working Day")</f>
        <v>Working Day</v>
      </c>
      <c r="V4" t="str">
        <f>CHOOSE(BikeData[[#This Row],[weekday]]+1,"Sunday","Monday","Tuesday","Wednesday","Thursday","Friday","Saturday")</f>
        <v>Monday</v>
      </c>
      <c r="W4" t="str">
        <f>CHOOSE(BikeData[[#This Row],[weathersit]],"Clear / Few Clouds","Mist / Cloudy","Light Rain / Snow","Heavy Rain / Snow")</f>
        <v>Clear / Few Clouds</v>
      </c>
    </row>
    <row r="5" spans="1:25" x14ac:dyDescent="0.3">
      <c r="A5">
        <v>4</v>
      </c>
      <c r="B5" s="1">
        <v>40547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>
        <v>0.2</v>
      </c>
      <c r="K5">
        <v>0.212122</v>
      </c>
      <c r="L5">
        <v>0.59043500000000004</v>
      </c>
      <c r="M5">
        <v>0.16029599999999999</v>
      </c>
      <c r="N5">
        <v>108</v>
      </c>
      <c r="O5">
        <v>1454</v>
      </c>
      <c r="P5">
        <v>1562</v>
      </c>
      <c r="Q5" t="str">
        <f>IF(BikeData[[#This Row],[casual]]+BikeData[[#This Row],[registered]]=BikeData[[#This Row],[cnt]],"OK","Check")</f>
        <v>OK</v>
      </c>
      <c r="R5">
        <f>IF(BikeData[[#This Row],[yr]]=0,2011,2012)</f>
        <v>2011</v>
      </c>
      <c r="S5" t="str">
        <f>CHOOSE(BikeData[[#This Row],[season]],"Winter","Spring","Summer","Fall")</f>
        <v>Winter</v>
      </c>
      <c r="T5" t="str">
        <f>TEXT(DATE(2000,BikeData[[#This Row],[mnth]],1),"mmmm")</f>
        <v>January</v>
      </c>
      <c r="U5" t="str">
        <f>IF(BikeData[[#This Row],[workingday]]=1,"Working Day","Non-working Day")</f>
        <v>Working Day</v>
      </c>
      <c r="V5" t="str">
        <f>CHOOSE(BikeData[[#This Row],[weekday]]+1,"Sunday","Monday","Tuesday","Wednesday","Thursday","Friday","Saturday")</f>
        <v>Tuesday</v>
      </c>
      <c r="W5" t="str">
        <f>CHOOSE(BikeData[[#This Row],[weathersit]],"Clear / Few Clouds","Mist / Cloudy","Light Rain / Snow","Heavy Rain / Snow")</f>
        <v>Clear / Few Clouds</v>
      </c>
    </row>
    <row r="6" spans="1:25" ht="18" x14ac:dyDescent="0.3">
      <c r="A6">
        <v>5</v>
      </c>
      <c r="B6" s="1">
        <v>40548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>
        <v>0.22695699999999999</v>
      </c>
      <c r="K6">
        <v>0.22927</v>
      </c>
      <c r="L6">
        <v>0.43695699999999998</v>
      </c>
      <c r="M6">
        <v>0.18690000000000001</v>
      </c>
      <c r="N6">
        <v>82</v>
      </c>
      <c r="O6">
        <v>1518</v>
      </c>
      <c r="P6">
        <v>1600</v>
      </c>
      <c r="Q6" t="str">
        <f>IF(BikeData[[#This Row],[casual]]+BikeData[[#This Row],[registered]]=BikeData[[#This Row],[cnt]],"OK","Check")</f>
        <v>OK</v>
      </c>
      <c r="R6">
        <f>IF(BikeData[[#This Row],[yr]]=0,2011,2012)</f>
        <v>2011</v>
      </c>
      <c r="S6" t="str">
        <f>CHOOSE(BikeData[[#This Row],[season]],"Winter","Spring","Summer","Fall")</f>
        <v>Winter</v>
      </c>
      <c r="T6" t="str">
        <f>TEXT(DATE(2000,BikeData[[#This Row],[mnth]],1),"mmmm")</f>
        <v>January</v>
      </c>
      <c r="U6" t="str">
        <f>IF(BikeData[[#This Row],[workingday]]=1,"Working Day","Non-working Day")</f>
        <v>Working Day</v>
      </c>
      <c r="V6" t="str">
        <f>CHOOSE(BikeData[[#This Row],[weekday]]+1,"Sunday","Monday","Tuesday","Wednesday","Thursday","Friday","Saturday")</f>
        <v>Wednesday</v>
      </c>
      <c r="W6" t="str">
        <f>CHOOSE(BikeData[[#This Row],[weathersit]],"Clear / Few Clouds","Mist / Cloudy","Light Rain / Snow","Heavy Rain / Snow")</f>
        <v>Clear / Few Clouds</v>
      </c>
      <c r="Y6" s="2" t="s">
        <v>23</v>
      </c>
    </row>
    <row r="7" spans="1:25" x14ac:dyDescent="0.3">
      <c r="A7">
        <v>6</v>
      </c>
      <c r="B7" s="1">
        <v>40549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>
        <v>0.204348</v>
      </c>
      <c r="K7">
        <v>0.233209</v>
      </c>
      <c r="L7">
        <v>0.51826099999999997</v>
      </c>
      <c r="M7">
        <v>8.9565199999999998E-2</v>
      </c>
      <c r="N7">
        <v>88</v>
      </c>
      <c r="O7">
        <v>1518</v>
      </c>
      <c r="P7">
        <v>1606</v>
      </c>
      <c r="Q7" t="str">
        <f>IF(BikeData[[#This Row],[casual]]+BikeData[[#This Row],[registered]]=BikeData[[#This Row],[cnt]],"OK","Check")</f>
        <v>OK</v>
      </c>
      <c r="R7">
        <f>IF(BikeData[[#This Row],[yr]]=0,2011,2012)</f>
        <v>2011</v>
      </c>
      <c r="S7" t="str">
        <f>CHOOSE(BikeData[[#This Row],[season]],"Winter","Spring","Summer","Fall")</f>
        <v>Winter</v>
      </c>
      <c r="T7" t="str">
        <f>TEXT(DATE(2000,BikeData[[#This Row],[mnth]],1),"mmmm")</f>
        <v>January</v>
      </c>
      <c r="U7" t="str">
        <f>IF(BikeData[[#This Row],[workingday]]=1,"Working Day","Non-working Day")</f>
        <v>Working Day</v>
      </c>
      <c r="V7" t="str">
        <f>CHOOSE(BikeData[[#This Row],[weekday]]+1,"Sunday","Monday","Tuesday","Wednesday","Thursday","Friday","Saturday")</f>
        <v>Thursday</v>
      </c>
      <c r="W7" t="str">
        <f>CHOOSE(BikeData[[#This Row],[weathersit]],"Clear / Few Clouds","Mist / Cloudy","Light Rain / Snow","Heavy Rain / Snow")</f>
        <v>Clear / Few Clouds</v>
      </c>
      <c r="Y7" s="3"/>
    </row>
    <row r="8" spans="1:25" x14ac:dyDescent="0.3">
      <c r="A8">
        <v>7</v>
      </c>
      <c r="B8" s="1">
        <v>40550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>
        <v>0.196522</v>
      </c>
      <c r="K8">
        <v>0.208839</v>
      </c>
      <c r="L8">
        <v>0.49869599999999997</v>
      </c>
      <c r="M8">
        <v>0.16872599999999999</v>
      </c>
      <c r="N8">
        <v>148</v>
      </c>
      <c r="O8">
        <v>1362</v>
      </c>
      <c r="P8">
        <v>1510</v>
      </c>
      <c r="Q8" t="str">
        <f>IF(BikeData[[#This Row],[casual]]+BikeData[[#This Row],[registered]]=BikeData[[#This Row],[cnt]],"OK","Check")</f>
        <v>OK</v>
      </c>
      <c r="R8">
        <f>IF(BikeData[[#This Row],[yr]]=0,2011,2012)</f>
        <v>2011</v>
      </c>
      <c r="S8" t="str">
        <f>CHOOSE(BikeData[[#This Row],[season]],"Winter","Spring","Summer","Fall")</f>
        <v>Winter</v>
      </c>
      <c r="T8" t="str">
        <f>TEXT(DATE(2000,BikeData[[#This Row],[mnth]],1),"mmmm")</f>
        <v>January</v>
      </c>
      <c r="U8" t="str">
        <f>IF(BikeData[[#This Row],[workingday]]=1,"Working Day","Non-working Day")</f>
        <v>Working Day</v>
      </c>
      <c r="V8" t="str">
        <f>CHOOSE(BikeData[[#This Row],[weekday]]+1,"Sunday","Monday","Tuesday","Wednesday","Thursday","Friday","Saturday")</f>
        <v>Friday</v>
      </c>
      <c r="W8" t="str">
        <f>CHOOSE(BikeData[[#This Row],[weathersit]],"Clear / Few Clouds","Mist / Cloudy","Light Rain / Snow","Heavy Rain / Snow")</f>
        <v>Mist / Cloudy</v>
      </c>
      <c r="Y8" s="3" t="s">
        <v>24</v>
      </c>
    </row>
    <row r="9" spans="1:25" x14ac:dyDescent="0.3">
      <c r="A9">
        <v>8</v>
      </c>
      <c r="B9" s="1">
        <v>40551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>
        <v>0.16500000000000001</v>
      </c>
      <c r="K9">
        <v>0.16225400000000001</v>
      </c>
      <c r="L9">
        <v>0.535833</v>
      </c>
      <c r="M9">
        <v>0.26680399999999999</v>
      </c>
      <c r="N9">
        <v>68</v>
      </c>
      <c r="O9">
        <v>891</v>
      </c>
      <c r="P9">
        <v>959</v>
      </c>
      <c r="Q9" t="str">
        <f>IF(BikeData[[#This Row],[casual]]+BikeData[[#This Row],[registered]]=BikeData[[#This Row],[cnt]],"OK","Check")</f>
        <v>OK</v>
      </c>
      <c r="R9">
        <f>IF(BikeData[[#This Row],[yr]]=0,2011,2012)</f>
        <v>2011</v>
      </c>
      <c r="S9" t="str">
        <f>CHOOSE(BikeData[[#This Row],[season]],"Winter","Spring","Summer","Fall")</f>
        <v>Winter</v>
      </c>
      <c r="T9" t="str">
        <f>TEXT(DATE(2000,BikeData[[#This Row],[mnth]],1),"mmmm")</f>
        <v>January</v>
      </c>
      <c r="U9" t="str">
        <f>IF(BikeData[[#This Row],[workingday]]=1,"Working Day","Non-working Day")</f>
        <v>Non-working Day</v>
      </c>
      <c r="V9" t="str">
        <f>CHOOSE(BikeData[[#This Row],[weekday]]+1,"Sunday","Monday","Tuesday","Wednesday","Thursday","Friday","Saturday")</f>
        <v>Saturday</v>
      </c>
      <c r="W9" t="str">
        <f>CHOOSE(BikeData[[#This Row],[weathersit]],"Clear / Few Clouds","Mist / Cloudy","Light Rain / Snow","Heavy Rain / Snow")</f>
        <v>Mist / Cloudy</v>
      </c>
      <c r="Y9" s="3"/>
    </row>
    <row r="10" spans="1:25" x14ac:dyDescent="0.3">
      <c r="A10">
        <v>9</v>
      </c>
      <c r="B10" s="1">
        <v>40552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0.13833300000000001</v>
      </c>
      <c r="K10">
        <v>0.116175</v>
      </c>
      <c r="L10">
        <v>0.43416700000000003</v>
      </c>
      <c r="M10">
        <v>0.36194999999999999</v>
      </c>
      <c r="N10">
        <v>54</v>
      </c>
      <c r="O10">
        <v>768</v>
      </c>
      <c r="P10">
        <v>822</v>
      </c>
      <c r="Q10" t="str">
        <f>IF(BikeData[[#This Row],[casual]]+BikeData[[#This Row],[registered]]=BikeData[[#This Row],[cnt]],"OK","Check")</f>
        <v>OK</v>
      </c>
      <c r="R10">
        <f>IF(BikeData[[#This Row],[yr]]=0,2011,2012)</f>
        <v>2011</v>
      </c>
      <c r="S10" t="str">
        <f>CHOOSE(BikeData[[#This Row],[season]],"Winter","Spring","Summer","Fall")</f>
        <v>Winter</v>
      </c>
      <c r="T10" t="str">
        <f>TEXT(DATE(2000,BikeData[[#This Row],[mnth]],1),"mmmm")</f>
        <v>January</v>
      </c>
      <c r="U10" t="str">
        <f>IF(BikeData[[#This Row],[workingday]]=1,"Working Day","Non-working Day")</f>
        <v>Non-working Day</v>
      </c>
      <c r="V10" t="str">
        <f>CHOOSE(BikeData[[#This Row],[weekday]]+1,"Sunday","Monday","Tuesday","Wednesday","Thursday","Friday","Saturday")</f>
        <v>Sunday</v>
      </c>
      <c r="W10" t="str">
        <f>CHOOSE(BikeData[[#This Row],[weathersit]],"Clear / Few Clouds","Mist / Cloudy","Light Rain / Snow","Heavy Rain / Snow")</f>
        <v>Clear / Few Clouds</v>
      </c>
      <c r="Y10" s="3" t="s">
        <v>25</v>
      </c>
    </row>
    <row r="11" spans="1:25" x14ac:dyDescent="0.3">
      <c r="A11">
        <v>10</v>
      </c>
      <c r="B11" s="1">
        <v>40553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0.15083299999999999</v>
      </c>
      <c r="K11">
        <v>0.15088799999999999</v>
      </c>
      <c r="L11">
        <v>0.48291699999999999</v>
      </c>
      <c r="M11">
        <v>0.22326699999999999</v>
      </c>
      <c r="N11">
        <v>41</v>
      </c>
      <c r="O11">
        <v>1280</v>
      </c>
      <c r="P11">
        <v>1321</v>
      </c>
      <c r="Q11" t="str">
        <f>IF(BikeData[[#This Row],[casual]]+BikeData[[#This Row],[registered]]=BikeData[[#This Row],[cnt]],"OK","Check")</f>
        <v>OK</v>
      </c>
      <c r="R11">
        <f>IF(BikeData[[#This Row],[yr]]=0,2011,2012)</f>
        <v>2011</v>
      </c>
      <c r="S11" t="str">
        <f>CHOOSE(BikeData[[#This Row],[season]],"Winter","Spring","Summer","Fall")</f>
        <v>Winter</v>
      </c>
      <c r="T11" t="str">
        <f>TEXT(DATE(2000,BikeData[[#This Row],[mnth]],1),"mmmm")</f>
        <v>January</v>
      </c>
      <c r="U11" t="str">
        <f>IF(BikeData[[#This Row],[workingday]]=1,"Working Day","Non-working Day")</f>
        <v>Working Day</v>
      </c>
      <c r="V11" t="str">
        <f>CHOOSE(BikeData[[#This Row],[weekday]]+1,"Sunday","Monday","Tuesday","Wednesday","Thursday","Friday","Saturday")</f>
        <v>Monday</v>
      </c>
      <c r="W11" t="str">
        <f>CHOOSE(BikeData[[#This Row],[weathersit]],"Clear / Few Clouds","Mist / Cloudy","Light Rain / Snow","Heavy Rain / Snow")</f>
        <v>Clear / Few Clouds</v>
      </c>
      <c r="Y11" s="3"/>
    </row>
    <row r="12" spans="1:25" x14ac:dyDescent="0.3">
      <c r="A12">
        <v>11</v>
      </c>
      <c r="B12" s="1">
        <v>40554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>
        <v>0.16909099999999999</v>
      </c>
      <c r="K12">
        <v>0.191464</v>
      </c>
      <c r="L12">
        <v>0.68636399999999997</v>
      </c>
      <c r="M12">
        <v>0.122132</v>
      </c>
      <c r="N12">
        <v>43</v>
      </c>
      <c r="O12">
        <v>1220</v>
      </c>
      <c r="P12">
        <v>1263</v>
      </c>
      <c r="Q12" t="str">
        <f>IF(BikeData[[#This Row],[casual]]+BikeData[[#This Row],[registered]]=BikeData[[#This Row],[cnt]],"OK","Check")</f>
        <v>OK</v>
      </c>
      <c r="R12">
        <f>IF(BikeData[[#This Row],[yr]]=0,2011,2012)</f>
        <v>2011</v>
      </c>
      <c r="S12" t="str">
        <f>CHOOSE(BikeData[[#This Row],[season]],"Winter","Spring","Summer","Fall")</f>
        <v>Winter</v>
      </c>
      <c r="T12" t="str">
        <f>TEXT(DATE(2000,BikeData[[#This Row],[mnth]],1),"mmmm")</f>
        <v>January</v>
      </c>
      <c r="U12" t="str">
        <f>IF(BikeData[[#This Row],[workingday]]=1,"Working Day","Non-working Day")</f>
        <v>Working Day</v>
      </c>
      <c r="V12" t="str">
        <f>CHOOSE(BikeData[[#This Row],[weekday]]+1,"Sunday","Monday","Tuesday","Wednesday","Thursday","Friday","Saturday")</f>
        <v>Tuesday</v>
      </c>
      <c r="W12" t="str">
        <f>CHOOSE(BikeData[[#This Row],[weathersit]],"Clear / Few Clouds","Mist / Cloudy","Light Rain / Snow","Heavy Rain / Snow")</f>
        <v>Mist / Cloudy</v>
      </c>
      <c r="Y12" s="3" t="s">
        <v>26</v>
      </c>
    </row>
    <row r="13" spans="1:25" x14ac:dyDescent="0.3">
      <c r="A13">
        <v>12</v>
      </c>
      <c r="B13" s="1">
        <v>40555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>
        <v>0.17272699999999999</v>
      </c>
      <c r="K13">
        <v>0.160473</v>
      </c>
      <c r="L13">
        <v>0.59954499999999999</v>
      </c>
      <c r="M13">
        <v>0.30462699999999998</v>
      </c>
      <c r="N13">
        <v>25</v>
      </c>
      <c r="O13">
        <v>1137</v>
      </c>
      <c r="P13">
        <v>1162</v>
      </c>
      <c r="Q13" t="str">
        <f>IF(BikeData[[#This Row],[casual]]+BikeData[[#This Row],[registered]]=BikeData[[#This Row],[cnt]],"OK","Check")</f>
        <v>OK</v>
      </c>
      <c r="R13">
        <f>IF(BikeData[[#This Row],[yr]]=0,2011,2012)</f>
        <v>2011</v>
      </c>
      <c r="S13" t="str">
        <f>CHOOSE(BikeData[[#This Row],[season]],"Winter","Spring","Summer","Fall")</f>
        <v>Winter</v>
      </c>
      <c r="T13" t="str">
        <f>TEXT(DATE(2000,BikeData[[#This Row],[mnth]],1),"mmmm")</f>
        <v>January</v>
      </c>
      <c r="U13" t="str">
        <f>IF(BikeData[[#This Row],[workingday]]=1,"Working Day","Non-working Day")</f>
        <v>Working Day</v>
      </c>
      <c r="V13" t="str">
        <f>CHOOSE(BikeData[[#This Row],[weekday]]+1,"Sunday","Monday","Tuesday","Wednesday","Thursday","Friday","Saturday")</f>
        <v>Wednesday</v>
      </c>
      <c r="W13" t="str">
        <f>CHOOSE(BikeData[[#This Row],[weathersit]],"Clear / Few Clouds","Mist / Cloudy","Light Rain / Snow","Heavy Rain / Snow")</f>
        <v>Clear / Few Clouds</v>
      </c>
      <c r="Y13" s="3"/>
    </row>
    <row r="14" spans="1:25" x14ac:dyDescent="0.3">
      <c r="A14">
        <v>13</v>
      </c>
      <c r="B14" s="1">
        <v>40556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>
        <v>0.16500000000000001</v>
      </c>
      <c r="K14">
        <v>0.15088299999999999</v>
      </c>
      <c r="L14">
        <v>0.47041699999999997</v>
      </c>
      <c r="M14">
        <v>0.30099999999999999</v>
      </c>
      <c r="N14">
        <v>38</v>
      </c>
      <c r="O14">
        <v>1368</v>
      </c>
      <c r="P14">
        <v>1406</v>
      </c>
      <c r="Q14" t="str">
        <f>IF(BikeData[[#This Row],[casual]]+BikeData[[#This Row],[registered]]=BikeData[[#This Row],[cnt]],"OK","Check")</f>
        <v>OK</v>
      </c>
      <c r="R14">
        <f>IF(BikeData[[#This Row],[yr]]=0,2011,2012)</f>
        <v>2011</v>
      </c>
      <c r="S14" t="str">
        <f>CHOOSE(BikeData[[#This Row],[season]],"Winter","Spring","Summer","Fall")</f>
        <v>Winter</v>
      </c>
      <c r="T14" t="str">
        <f>TEXT(DATE(2000,BikeData[[#This Row],[mnth]],1),"mmmm")</f>
        <v>January</v>
      </c>
      <c r="U14" t="str">
        <f>IF(BikeData[[#This Row],[workingday]]=1,"Working Day","Non-working Day")</f>
        <v>Working Day</v>
      </c>
      <c r="V14" t="str">
        <f>CHOOSE(BikeData[[#This Row],[weekday]]+1,"Sunday","Monday","Tuesday","Wednesday","Thursday","Friday","Saturday")</f>
        <v>Thursday</v>
      </c>
      <c r="W14" t="str">
        <f>CHOOSE(BikeData[[#This Row],[weathersit]],"Clear / Few Clouds","Mist / Cloudy","Light Rain / Snow","Heavy Rain / Snow")</f>
        <v>Clear / Few Clouds</v>
      </c>
      <c r="Y14" s="3" t="s">
        <v>27</v>
      </c>
    </row>
    <row r="15" spans="1:25" x14ac:dyDescent="0.3">
      <c r="A15">
        <v>14</v>
      </c>
      <c r="B15" s="1">
        <v>40557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>
        <v>0.16087000000000001</v>
      </c>
      <c r="K15">
        <v>0.188413</v>
      </c>
      <c r="L15">
        <v>0.53782600000000003</v>
      </c>
      <c r="M15">
        <v>0.12654799999999999</v>
      </c>
      <c r="N15">
        <v>54</v>
      </c>
      <c r="O15">
        <v>1367</v>
      </c>
      <c r="P15">
        <v>1421</v>
      </c>
      <c r="Q15" t="str">
        <f>IF(BikeData[[#This Row],[casual]]+BikeData[[#This Row],[registered]]=BikeData[[#This Row],[cnt]],"OK","Check")</f>
        <v>OK</v>
      </c>
      <c r="R15">
        <f>IF(BikeData[[#This Row],[yr]]=0,2011,2012)</f>
        <v>2011</v>
      </c>
      <c r="S15" t="str">
        <f>CHOOSE(BikeData[[#This Row],[season]],"Winter","Spring","Summer","Fall")</f>
        <v>Winter</v>
      </c>
      <c r="T15" t="str">
        <f>TEXT(DATE(2000,BikeData[[#This Row],[mnth]],1),"mmmm")</f>
        <v>January</v>
      </c>
      <c r="U15" t="str">
        <f>IF(BikeData[[#This Row],[workingday]]=1,"Working Day","Non-working Day")</f>
        <v>Working Day</v>
      </c>
      <c r="V15" t="str">
        <f>CHOOSE(BikeData[[#This Row],[weekday]]+1,"Sunday","Monday","Tuesday","Wednesday","Thursday","Friday","Saturday")</f>
        <v>Friday</v>
      </c>
      <c r="W15" t="str">
        <f>CHOOSE(BikeData[[#This Row],[weathersit]],"Clear / Few Clouds","Mist / Cloudy","Light Rain / Snow","Heavy Rain / Snow")</f>
        <v>Clear / Few Clouds</v>
      </c>
      <c r="Y15" s="3"/>
    </row>
    <row r="16" spans="1:25" x14ac:dyDescent="0.3">
      <c r="A16">
        <v>15</v>
      </c>
      <c r="B16" s="1">
        <v>40558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>
        <v>0.23333300000000001</v>
      </c>
      <c r="K16">
        <v>0.248112</v>
      </c>
      <c r="L16">
        <v>0.49875000000000003</v>
      </c>
      <c r="M16">
        <v>0.15796299999999999</v>
      </c>
      <c r="N16">
        <v>222</v>
      </c>
      <c r="O16">
        <v>1026</v>
      </c>
      <c r="P16">
        <v>1248</v>
      </c>
      <c r="Q16" t="str">
        <f>IF(BikeData[[#This Row],[casual]]+BikeData[[#This Row],[registered]]=BikeData[[#This Row],[cnt]],"OK","Check")</f>
        <v>OK</v>
      </c>
      <c r="R16">
        <f>IF(BikeData[[#This Row],[yr]]=0,2011,2012)</f>
        <v>2011</v>
      </c>
      <c r="S16" t="str">
        <f>CHOOSE(BikeData[[#This Row],[season]],"Winter","Spring","Summer","Fall")</f>
        <v>Winter</v>
      </c>
      <c r="T16" t="str">
        <f>TEXT(DATE(2000,BikeData[[#This Row],[mnth]],1),"mmmm")</f>
        <v>January</v>
      </c>
      <c r="U16" t="str">
        <f>IF(BikeData[[#This Row],[workingday]]=1,"Working Day","Non-working Day")</f>
        <v>Non-working Day</v>
      </c>
      <c r="V16" t="str">
        <f>CHOOSE(BikeData[[#This Row],[weekday]]+1,"Sunday","Monday","Tuesday","Wednesday","Thursday","Friday","Saturday")</f>
        <v>Saturday</v>
      </c>
      <c r="W16" t="str">
        <f>CHOOSE(BikeData[[#This Row],[weathersit]],"Clear / Few Clouds","Mist / Cloudy","Light Rain / Snow","Heavy Rain / Snow")</f>
        <v>Mist / Cloudy</v>
      </c>
      <c r="Y16" s="4" t="s">
        <v>28</v>
      </c>
    </row>
    <row r="17" spans="1:23" x14ac:dyDescent="0.3">
      <c r="A17">
        <v>16</v>
      </c>
      <c r="B17" s="1">
        <v>40559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0.23166700000000001</v>
      </c>
      <c r="K17">
        <v>0.23421700000000001</v>
      </c>
      <c r="L17">
        <v>0.48375000000000001</v>
      </c>
      <c r="M17">
        <v>0.18843299999999999</v>
      </c>
      <c r="N17">
        <v>251</v>
      </c>
      <c r="O17">
        <v>953</v>
      </c>
      <c r="P17">
        <v>1204</v>
      </c>
      <c r="Q17" t="str">
        <f>IF(BikeData[[#This Row],[casual]]+BikeData[[#This Row],[registered]]=BikeData[[#This Row],[cnt]],"OK","Check")</f>
        <v>OK</v>
      </c>
      <c r="R17">
        <f>IF(BikeData[[#This Row],[yr]]=0,2011,2012)</f>
        <v>2011</v>
      </c>
      <c r="S17" t="str">
        <f>CHOOSE(BikeData[[#This Row],[season]],"Winter","Spring","Summer","Fall")</f>
        <v>Winter</v>
      </c>
      <c r="T17" t="str">
        <f>TEXT(DATE(2000,BikeData[[#This Row],[mnth]],1),"mmmm")</f>
        <v>January</v>
      </c>
      <c r="U17" t="str">
        <f>IF(BikeData[[#This Row],[workingday]]=1,"Working Day","Non-working Day")</f>
        <v>Non-working Day</v>
      </c>
      <c r="V17" t="str">
        <f>CHOOSE(BikeData[[#This Row],[weekday]]+1,"Sunday","Monday","Tuesday","Wednesday","Thursday","Friday","Saturday")</f>
        <v>Sunday</v>
      </c>
      <c r="W17" t="str">
        <f>CHOOSE(BikeData[[#This Row],[weathersit]],"Clear / Few Clouds","Mist / Cloudy","Light Rain / Snow","Heavy Rain / Snow")</f>
        <v>Clear / Few Clouds</v>
      </c>
    </row>
    <row r="18" spans="1:23" x14ac:dyDescent="0.3">
      <c r="A18">
        <v>17</v>
      </c>
      <c r="B18" s="1">
        <v>40560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>
        <v>0.17583299999999999</v>
      </c>
      <c r="K18">
        <v>0.17677100000000001</v>
      </c>
      <c r="L18">
        <v>0.53749999999999998</v>
      </c>
      <c r="M18">
        <v>0.194017</v>
      </c>
      <c r="N18">
        <v>117</v>
      </c>
      <c r="O18">
        <v>883</v>
      </c>
      <c r="P18">
        <v>1000</v>
      </c>
      <c r="Q18" t="str">
        <f>IF(BikeData[[#This Row],[casual]]+BikeData[[#This Row],[registered]]=BikeData[[#This Row],[cnt]],"OK","Check")</f>
        <v>OK</v>
      </c>
      <c r="R18">
        <f>IF(BikeData[[#This Row],[yr]]=0,2011,2012)</f>
        <v>2011</v>
      </c>
      <c r="S18" t="str">
        <f>CHOOSE(BikeData[[#This Row],[season]],"Winter","Spring","Summer","Fall")</f>
        <v>Winter</v>
      </c>
      <c r="T18" t="str">
        <f>TEXT(DATE(2000,BikeData[[#This Row],[mnth]],1),"mmmm")</f>
        <v>January</v>
      </c>
      <c r="U18" t="str">
        <f>IF(BikeData[[#This Row],[workingday]]=1,"Working Day","Non-working Day")</f>
        <v>Non-working Day</v>
      </c>
      <c r="V18" t="str">
        <f>CHOOSE(BikeData[[#This Row],[weekday]]+1,"Sunday","Monday","Tuesday","Wednesday","Thursday","Friday","Saturday")</f>
        <v>Monday</v>
      </c>
      <c r="W18" t="str">
        <f>CHOOSE(BikeData[[#This Row],[weathersit]],"Clear / Few Clouds","Mist / Cloudy","Light Rain / Snow","Heavy Rain / Snow")</f>
        <v>Mist / Cloudy</v>
      </c>
    </row>
    <row r="19" spans="1:23" x14ac:dyDescent="0.3">
      <c r="A19">
        <v>18</v>
      </c>
      <c r="B19" s="1">
        <v>40561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0.216667</v>
      </c>
      <c r="K19">
        <v>0.23233300000000001</v>
      </c>
      <c r="L19">
        <v>0.86166699999999996</v>
      </c>
      <c r="M19">
        <v>0.14677499999999999</v>
      </c>
      <c r="N19">
        <v>9</v>
      </c>
      <c r="O19">
        <v>674</v>
      </c>
      <c r="P19">
        <v>683</v>
      </c>
      <c r="Q19" t="str">
        <f>IF(BikeData[[#This Row],[casual]]+BikeData[[#This Row],[registered]]=BikeData[[#This Row],[cnt]],"OK","Check")</f>
        <v>OK</v>
      </c>
      <c r="R19">
        <f>IF(BikeData[[#This Row],[yr]]=0,2011,2012)</f>
        <v>2011</v>
      </c>
      <c r="S19" t="str">
        <f>CHOOSE(BikeData[[#This Row],[season]],"Winter","Spring","Summer","Fall")</f>
        <v>Winter</v>
      </c>
      <c r="T19" t="str">
        <f>TEXT(DATE(2000,BikeData[[#This Row],[mnth]],1),"mmmm")</f>
        <v>January</v>
      </c>
      <c r="U19" t="str">
        <f>IF(BikeData[[#This Row],[workingday]]=1,"Working Day","Non-working Day")</f>
        <v>Working Day</v>
      </c>
      <c r="V19" t="str">
        <f>CHOOSE(BikeData[[#This Row],[weekday]]+1,"Sunday","Monday","Tuesday","Wednesday","Thursday","Friday","Saturday")</f>
        <v>Tuesday</v>
      </c>
      <c r="W19" t="str">
        <f>CHOOSE(BikeData[[#This Row],[weathersit]],"Clear / Few Clouds","Mist / Cloudy","Light Rain / Snow","Heavy Rain / Snow")</f>
        <v>Mist / Cloudy</v>
      </c>
    </row>
    <row r="20" spans="1:23" x14ac:dyDescent="0.3">
      <c r="A20">
        <v>19</v>
      </c>
      <c r="B20" s="1">
        <v>40562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>
        <v>0.29217399999999999</v>
      </c>
      <c r="K20">
        <v>0.29842200000000002</v>
      </c>
      <c r="L20">
        <v>0.74173900000000004</v>
      </c>
      <c r="M20">
        <v>0.208317</v>
      </c>
      <c r="N20">
        <v>78</v>
      </c>
      <c r="O20">
        <v>1572</v>
      </c>
      <c r="P20">
        <v>1650</v>
      </c>
      <c r="Q20" t="str">
        <f>IF(BikeData[[#This Row],[casual]]+BikeData[[#This Row],[registered]]=BikeData[[#This Row],[cnt]],"OK","Check")</f>
        <v>OK</v>
      </c>
      <c r="R20">
        <f>IF(BikeData[[#This Row],[yr]]=0,2011,2012)</f>
        <v>2011</v>
      </c>
      <c r="S20" t="str">
        <f>CHOOSE(BikeData[[#This Row],[season]],"Winter","Spring","Summer","Fall")</f>
        <v>Winter</v>
      </c>
      <c r="T20" t="str">
        <f>TEXT(DATE(2000,BikeData[[#This Row],[mnth]],1),"mmmm")</f>
        <v>January</v>
      </c>
      <c r="U20" t="str">
        <f>IF(BikeData[[#This Row],[workingday]]=1,"Working Day","Non-working Day")</f>
        <v>Working Day</v>
      </c>
      <c r="V20" t="str">
        <f>CHOOSE(BikeData[[#This Row],[weekday]]+1,"Sunday","Monday","Tuesday","Wednesday","Thursday","Friday","Saturday")</f>
        <v>Wednesday</v>
      </c>
      <c r="W20" t="str">
        <f>CHOOSE(BikeData[[#This Row],[weathersit]],"Clear / Few Clouds","Mist / Cloudy","Light Rain / Snow","Heavy Rain / Snow")</f>
        <v>Mist / Cloudy</v>
      </c>
    </row>
    <row r="21" spans="1:23" x14ac:dyDescent="0.3">
      <c r="A21">
        <v>20</v>
      </c>
      <c r="B21" s="1">
        <v>40563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>
        <v>0.26166699999999998</v>
      </c>
      <c r="K21">
        <v>0.25505</v>
      </c>
      <c r="L21">
        <v>0.53833299999999995</v>
      </c>
      <c r="M21">
        <v>0.19590399999999999</v>
      </c>
      <c r="N21">
        <v>83</v>
      </c>
      <c r="O21">
        <v>1844</v>
      </c>
      <c r="P21">
        <v>1927</v>
      </c>
      <c r="Q21" t="str">
        <f>IF(BikeData[[#This Row],[casual]]+BikeData[[#This Row],[registered]]=BikeData[[#This Row],[cnt]],"OK","Check")</f>
        <v>OK</v>
      </c>
      <c r="R21">
        <f>IF(BikeData[[#This Row],[yr]]=0,2011,2012)</f>
        <v>2011</v>
      </c>
      <c r="S21" t="str">
        <f>CHOOSE(BikeData[[#This Row],[season]],"Winter","Spring","Summer","Fall")</f>
        <v>Winter</v>
      </c>
      <c r="T21" t="str">
        <f>TEXT(DATE(2000,BikeData[[#This Row],[mnth]],1),"mmmm")</f>
        <v>January</v>
      </c>
      <c r="U21" t="str">
        <f>IF(BikeData[[#This Row],[workingday]]=1,"Working Day","Non-working Day")</f>
        <v>Working Day</v>
      </c>
      <c r="V21" t="str">
        <f>CHOOSE(BikeData[[#This Row],[weekday]]+1,"Sunday","Monday","Tuesday","Wednesday","Thursday","Friday","Saturday")</f>
        <v>Thursday</v>
      </c>
      <c r="W21" t="str">
        <f>CHOOSE(BikeData[[#This Row],[weathersit]],"Clear / Few Clouds","Mist / Cloudy","Light Rain / Snow","Heavy Rain / Snow")</f>
        <v>Mist / Cloudy</v>
      </c>
    </row>
    <row r="22" spans="1:23" x14ac:dyDescent="0.3">
      <c r="A22">
        <v>21</v>
      </c>
      <c r="B22" s="1">
        <v>40564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>
        <v>0.17749999999999999</v>
      </c>
      <c r="K22">
        <v>0.157833</v>
      </c>
      <c r="L22">
        <v>0.45708300000000002</v>
      </c>
      <c r="M22">
        <v>0.353242</v>
      </c>
      <c r="N22">
        <v>75</v>
      </c>
      <c r="O22">
        <v>1468</v>
      </c>
      <c r="P22">
        <v>1543</v>
      </c>
      <c r="Q22" t="str">
        <f>IF(BikeData[[#This Row],[casual]]+BikeData[[#This Row],[registered]]=BikeData[[#This Row],[cnt]],"OK","Check")</f>
        <v>OK</v>
      </c>
      <c r="R22">
        <f>IF(BikeData[[#This Row],[yr]]=0,2011,2012)</f>
        <v>2011</v>
      </c>
      <c r="S22" t="str">
        <f>CHOOSE(BikeData[[#This Row],[season]],"Winter","Spring","Summer","Fall")</f>
        <v>Winter</v>
      </c>
      <c r="T22" t="str">
        <f>TEXT(DATE(2000,BikeData[[#This Row],[mnth]],1),"mmmm")</f>
        <v>January</v>
      </c>
      <c r="U22" t="str">
        <f>IF(BikeData[[#This Row],[workingday]]=1,"Working Day","Non-working Day")</f>
        <v>Working Day</v>
      </c>
      <c r="V22" t="str">
        <f>CHOOSE(BikeData[[#This Row],[weekday]]+1,"Sunday","Monday","Tuesday","Wednesday","Thursday","Friday","Saturday")</f>
        <v>Friday</v>
      </c>
      <c r="W22" t="str">
        <f>CHOOSE(BikeData[[#This Row],[weathersit]],"Clear / Few Clouds","Mist / Cloudy","Light Rain / Snow","Heavy Rain / Snow")</f>
        <v>Clear / Few Clouds</v>
      </c>
    </row>
    <row r="23" spans="1:23" x14ac:dyDescent="0.3">
      <c r="A23">
        <v>22</v>
      </c>
      <c r="B23" s="1">
        <v>40565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>
        <v>5.91304E-2</v>
      </c>
      <c r="K23">
        <v>7.9069600000000004E-2</v>
      </c>
      <c r="L23">
        <v>0.4</v>
      </c>
      <c r="M23">
        <v>0.17197000000000001</v>
      </c>
      <c r="N23">
        <v>93</v>
      </c>
      <c r="O23">
        <v>888</v>
      </c>
      <c r="P23">
        <v>981</v>
      </c>
      <c r="Q23" t="str">
        <f>IF(BikeData[[#This Row],[casual]]+BikeData[[#This Row],[registered]]=BikeData[[#This Row],[cnt]],"OK","Check")</f>
        <v>OK</v>
      </c>
      <c r="R23">
        <f>IF(BikeData[[#This Row],[yr]]=0,2011,2012)</f>
        <v>2011</v>
      </c>
      <c r="S23" t="str">
        <f>CHOOSE(BikeData[[#This Row],[season]],"Winter","Spring","Summer","Fall")</f>
        <v>Winter</v>
      </c>
      <c r="T23" t="str">
        <f>TEXT(DATE(2000,BikeData[[#This Row],[mnth]],1),"mmmm")</f>
        <v>January</v>
      </c>
      <c r="U23" t="str">
        <f>IF(BikeData[[#This Row],[workingday]]=1,"Working Day","Non-working Day")</f>
        <v>Non-working Day</v>
      </c>
      <c r="V23" t="str">
        <f>CHOOSE(BikeData[[#This Row],[weekday]]+1,"Sunday","Monday","Tuesday","Wednesday","Thursday","Friday","Saturday")</f>
        <v>Saturday</v>
      </c>
      <c r="W23" t="str">
        <f>CHOOSE(BikeData[[#This Row],[weathersit]],"Clear / Few Clouds","Mist / Cloudy","Light Rain / Snow","Heavy Rain / Snow")</f>
        <v>Clear / Few Clouds</v>
      </c>
    </row>
    <row r="24" spans="1:23" x14ac:dyDescent="0.3">
      <c r="A24">
        <v>23</v>
      </c>
      <c r="B24" s="1">
        <v>40566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9.6521700000000002E-2</v>
      </c>
      <c r="K24">
        <v>9.8839099999999999E-2</v>
      </c>
      <c r="L24">
        <v>0.43652200000000002</v>
      </c>
      <c r="M24">
        <v>0.24660000000000001</v>
      </c>
      <c r="N24">
        <v>150</v>
      </c>
      <c r="O24">
        <v>836</v>
      </c>
      <c r="P24">
        <v>986</v>
      </c>
      <c r="Q24" t="str">
        <f>IF(BikeData[[#This Row],[casual]]+BikeData[[#This Row],[registered]]=BikeData[[#This Row],[cnt]],"OK","Check")</f>
        <v>OK</v>
      </c>
      <c r="R24">
        <f>IF(BikeData[[#This Row],[yr]]=0,2011,2012)</f>
        <v>2011</v>
      </c>
      <c r="S24" t="str">
        <f>CHOOSE(BikeData[[#This Row],[season]],"Winter","Spring","Summer","Fall")</f>
        <v>Winter</v>
      </c>
      <c r="T24" t="str">
        <f>TEXT(DATE(2000,BikeData[[#This Row],[mnth]],1),"mmmm")</f>
        <v>January</v>
      </c>
      <c r="U24" t="str">
        <f>IF(BikeData[[#This Row],[workingday]]=1,"Working Day","Non-working Day")</f>
        <v>Non-working Day</v>
      </c>
      <c r="V24" t="str">
        <f>CHOOSE(BikeData[[#This Row],[weekday]]+1,"Sunday","Monday","Tuesday","Wednesday","Thursday","Friday","Saturday")</f>
        <v>Sunday</v>
      </c>
      <c r="W24" t="str">
        <f>CHOOSE(BikeData[[#This Row],[weathersit]],"Clear / Few Clouds","Mist / Cloudy","Light Rain / Snow","Heavy Rain / Snow")</f>
        <v>Clear / Few Clouds</v>
      </c>
    </row>
    <row r="25" spans="1:23" x14ac:dyDescent="0.3">
      <c r="A25">
        <v>24</v>
      </c>
      <c r="B25" s="1">
        <v>40567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9.73913E-2</v>
      </c>
      <c r="K25">
        <v>0.11792999999999999</v>
      </c>
      <c r="L25">
        <v>0.49173899999999998</v>
      </c>
      <c r="M25">
        <v>0.15833</v>
      </c>
      <c r="N25">
        <v>86</v>
      </c>
      <c r="O25">
        <v>1330</v>
      </c>
      <c r="P25">
        <v>1416</v>
      </c>
      <c r="Q25" t="str">
        <f>IF(BikeData[[#This Row],[casual]]+BikeData[[#This Row],[registered]]=BikeData[[#This Row],[cnt]],"OK","Check")</f>
        <v>OK</v>
      </c>
      <c r="R25">
        <f>IF(BikeData[[#This Row],[yr]]=0,2011,2012)</f>
        <v>2011</v>
      </c>
      <c r="S25" t="str">
        <f>CHOOSE(BikeData[[#This Row],[season]],"Winter","Spring","Summer","Fall")</f>
        <v>Winter</v>
      </c>
      <c r="T25" t="str">
        <f>TEXT(DATE(2000,BikeData[[#This Row],[mnth]],1),"mmmm")</f>
        <v>January</v>
      </c>
      <c r="U25" t="str">
        <f>IF(BikeData[[#This Row],[workingday]]=1,"Working Day","Non-working Day")</f>
        <v>Working Day</v>
      </c>
      <c r="V25" t="str">
        <f>CHOOSE(BikeData[[#This Row],[weekday]]+1,"Sunday","Monday","Tuesday","Wednesday","Thursday","Friday","Saturday")</f>
        <v>Monday</v>
      </c>
      <c r="W25" t="str">
        <f>CHOOSE(BikeData[[#This Row],[weathersit]],"Clear / Few Clouds","Mist / Cloudy","Light Rain / Snow","Heavy Rain / Snow")</f>
        <v>Clear / Few Clouds</v>
      </c>
    </row>
    <row r="26" spans="1:23" x14ac:dyDescent="0.3">
      <c r="A26">
        <v>25</v>
      </c>
      <c r="B26" s="1">
        <v>40568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>
        <v>0.22347800000000001</v>
      </c>
      <c r="K26">
        <v>0.23452600000000001</v>
      </c>
      <c r="L26">
        <v>0.61695699999999998</v>
      </c>
      <c r="M26">
        <v>0.12979599999999999</v>
      </c>
      <c r="N26">
        <v>186</v>
      </c>
      <c r="O26">
        <v>1799</v>
      </c>
      <c r="P26">
        <v>1985</v>
      </c>
      <c r="Q26" t="str">
        <f>IF(BikeData[[#This Row],[casual]]+BikeData[[#This Row],[registered]]=BikeData[[#This Row],[cnt]],"OK","Check")</f>
        <v>OK</v>
      </c>
      <c r="R26">
        <f>IF(BikeData[[#This Row],[yr]]=0,2011,2012)</f>
        <v>2011</v>
      </c>
      <c r="S26" t="str">
        <f>CHOOSE(BikeData[[#This Row],[season]],"Winter","Spring","Summer","Fall")</f>
        <v>Winter</v>
      </c>
      <c r="T26" t="str">
        <f>TEXT(DATE(2000,BikeData[[#This Row],[mnth]],1),"mmmm")</f>
        <v>January</v>
      </c>
      <c r="U26" t="str">
        <f>IF(BikeData[[#This Row],[workingday]]=1,"Working Day","Non-working Day")</f>
        <v>Working Day</v>
      </c>
      <c r="V26" t="str">
        <f>CHOOSE(BikeData[[#This Row],[weekday]]+1,"Sunday","Monday","Tuesday","Wednesday","Thursday","Friday","Saturday")</f>
        <v>Tuesday</v>
      </c>
      <c r="W26" t="str">
        <f>CHOOSE(BikeData[[#This Row],[weathersit]],"Clear / Few Clouds","Mist / Cloudy","Light Rain / Snow","Heavy Rain / Snow")</f>
        <v>Mist / Cloudy</v>
      </c>
    </row>
    <row r="27" spans="1:23" x14ac:dyDescent="0.3">
      <c r="A27">
        <v>26</v>
      </c>
      <c r="B27" s="1">
        <v>40569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>
        <v>0.2175</v>
      </c>
      <c r="K27">
        <v>0.2036</v>
      </c>
      <c r="L27">
        <v>0.86250000000000004</v>
      </c>
      <c r="M27">
        <v>0.29385</v>
      </c>
      <c r="N27">
        <v>34</v>
      </c>
      <c r="O27">
        <v>472</v>
      </c>
      <c r="P27">
        <v>506</v>
      </c>
      <c r="Q27" t="str">
        <f>IF(BikeData[[#This Row],[casual]]+BikeData[[#This Row],[registered]]=BikeData[[#This Row],[cnt]],"OK","Check")</f>
        <v>OK</v>
      </c>
      <c r="R27">
        <f>IF(BikeData[[#This Row],[yr]]=0,2011,2012)</f>
        <v>2011</v>
      </c>
      <c r="S27" t="str">
        <f>CHOOSE(BikeData[[#This Row],[season]],"Winter","Spring","Summer","Fall")</f>
        <v>Winter</v>
      </c>
      <c r="T27" t="str">
        <f>TEXT(DATE(2000,BikeData[[#This Row],[mnth]],1),"mmmm")</f>
        <v>January</v>
      </c>
      <c r="U27" t="str">
        <f>IF(BikeData[[#This Row],[workingday]]=1,"Working Day","Non-working Day")</f>
        <v>Working Day</v>
      </c>
      <c r="V27" t="str">
        <f>CHOOSE(BikeData[[#This Row],[weekday]]+1,"Sunday","Monday","Tuesday","Wednesday","Thursday","Friday","Saturday")</f>
        <v>Wednesday</v>
      </c>
      <c r="W27" t="str">
        <f>CHOOSE(BikeData[[#This Row],[weathersit]],"Clear / Few Clouds","Mist / Cloudy","Light Rain / Snow","Heavy Rain / Snow")</f>
        <v>Light Rain / Snow</v>
      </c>
    </row>
    <row r="28" spans="1:23" x14ac:dyDescent="0.3">
      <c r="A28">
        <v>27</v>
      </c>
      <c r="B28" s="1">
        <v>40570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>
        <v>0.19500000000000001</v>
      </c>
      <c r="K28">
        <v>0.21970000000000001</v>
      </c>
      <c r="L28">
        <v>0.6875</v>
      </c>
      <c r="M28">
        <v>0.11383699999999999</v>
      </c>
      <c r="N28">
        <v>15</v>
      </c>
      <c r="O28">
        <v>416</v>
      </c>
      <c r="P28">
        <v>431</v>
      </c>
      <c r="Q28" t="str">
        <f>IF(BikeData[[#This Row],[casual]]+BikeData[[#This Row],[registered]]=BikeData[[#This Row],[cnt]],"OK","Check")</f>
        <v>OK</v>
      </c>
      <c r="R28">
        <f>IF(BikeData[[#This Row],[yr]]=0,2011,2012)</f>
        <v>2011</v>
      </c>
      <c r="S28" t="str">
        <f>CHOOSE(BikeData[[#This Row],[season]],"Winter","Spring","Summer","Fall")</f>
        <v>Winter</v>
      </c>
      <c r="T28" t="str">
        <f>TEXT(DATE(2000,BikeData[[#This Row],[mnth]],1),"mmmm")</f>
        <v>January</v>
      </c>
      <c r="U28" t="str">
        <f>IF(BikeData[[#This Row],[workingday]]=1,"Working Day","Non-working Day")</f>
        <v>Working Day</v>
      </c>
      <c r="V28" t="str">
        <f>CHOOSE(BikeData[[#This Row],[weekday]]+1,"Sunday","Monday","Tuesday","Wednesday","Thursday","Friday","Saturday")</f>
        <v>Thursday</v>
      </c>
      <c r="W28" t="str">
        <f>CHOOSE(BikeData[[#This Row],[weathersit]],"Clear / Few Clouds","Mist / Cloudy","Light Rain / Snow","Heavy Rain / Snow")</f>
        <v>Clear / Few Clouds</v>
      </c>
    </row>
    <row r="29" spans="1:23" x14ac:dyDescent="0.3">
      <c r="A29">
        <v>28</v>
      </c>
      <c r="B29" s="1">
        <v>40571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>
        <v>0.20347799999999999</v>
      </c>
      <c r="K29">
        <v>0.22331699999999999</v>
      </c>
      <c r="L29">
        <v>0.79304300000000005</v>
      </c>
      <c r="M29">
        <v>0.12330000000000001</v>
      </c>
      <c r="N29">
        <v>38</v>
      </c>
      <c r="O29">
        <v>1129</v>
      </c>
      <c r="P29">
        <v>1167</v>
      </c>
      <c r="Q29" t="str">
        <f>IF(BikeData[[#This Row],[casual]]+BikeData[[#This Row],[registered]]=BikeData[[#This Row],[cnt]],"OK","Check")</f>
        <v>OK</v>
      </c>
      <c r="R29">
        <f>IF(BikeData[[#This Row],[yr]]=0,2011,2012)</f>
        <v>2011</v>
      </c>
      <c r="S29" t="str">
        <f>CHOOSE(BikeData[[#This Row],[season]],"Winter","Spring","Summer","Fall")</f>
        <v>Winter</v>
      </c>
      <c r="T29" t="str">
        <f>TEXT(DATE(2000,BikeData[[#This Row],[mnth]],1),"mmmm")</f>
        <v>January</v>
      </c>
      <c r="U29" t="str">
        <f>IF(BikeData[[#This Row],[workingday]]=1,"Working Day","Non-working Day")</f>
        <v>Working Day</v>
      </c>
      <c r="V29" t="str">
        <f>CHOOSE(BikeData[[#This Row],[weekday]]+1,"Sunday","Monday","Tuesday","Wednesday","Thursday","Friday","Saturday")</f>
        <v>Friday</v>
      </c>
      <c r="W29" t="str">
        <f>CHOOSE(BikeData[[#This Row],[weathersit]],"Clear / Few Clouds","Mist / Cloudy","Light Rain / Snow","Heavy Rain / Snow")</f>
        <v>Mist / Cloudy</v>
      </c>
    </row>
    <row r="30" spans="1:23" x14ac:dyDescent="0.3">
      <c r="A30">
        <v>29</v>
      </c>
      <c r="B30" s="1">
        <v>40572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>
        <v>0.196522</v>
      </c>
      <c r="K30">
        <v>0.21212600000000001</v>
      </c>
      <c r="L30">
        <v>0.65173899999999996</v>
      </c>
      <c r="M30">
        <v>0.14536499999999999</v>
      </c>
      <c r="N30">
        <v>123</v>
      </c>
      <c r="O30">
        <v>975</v>
      </c>
      <c r="P30">
        <v>1098</v>
      </c>
      <c r="Q30" t="str">
        <f>IF(BikeData[[#This Row],[casual]]+BikeData[[#This Row],[registered]]=BikeData[[#This Row],[cnt]],"OK","Check")</f>
        <v>OK</v>
      </c>
      <c r="R30">
        <f>IF(BikeData[[#This Row],[yr]]=0,2011,2012)</f>
        <v>2011</v>
      </c>
      <c r="S30" t="str">
        <f>CHOOSE(BikeData[[#This Row],[season]],"Winter","Spring","Summer","Fall")</f>
        <v>Winter</v>
      </c>
      <c r="T30" t="str">
        <f>TEXT(DATE(2000,BikeData[[#This Row],[mnth]],1),"mmmm")</f>
        <v>January</v>
      </c>
      <c r="U30" t="str">
        <f>IF(BikeData[[#This Row],[workingday]]=1,"Working Day","Non-working Day")</f>
        <v>Non-working Day</v>
      </c>
      <c r="V30" t="str">
        <f>CHOOSE(BikeData[[#This Row],[weekday]]+1,"Sunday","Monday","Tuesday","Wednesday","Thursday","Friday","Saturday")</f>
        <v>Saturday</v>
      </c>
      <c r="W30" t="str">
        <f>CHOOSE(BikeData[[#This Row],[weathersit]],"Clear / Few Clouds","Mist / Cloudy","Light Rain / Snow","Heavy Rain / Snow")</f>
        <v>Clear / Few Clouds</v>
      </c>
    </row>
    <row r="31" spans="1:23" x14ac:dyDescent="0.3">
      <c r="A31">
        <v>30</v>
      </c>
      <c r="B31" s="1">
        <v>40573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0.21652199999999999</v>
      </c>
      <c r="K31">
        <v>0.25032199999999999</v>
      </c>
      <c r="L31">
        <v>0.72217399999999998</v>
      </c>
      <c r="M31">
        <v>7.3982599999999996E-2</v>
      </c>
      <c r="N31">
        <v>140</v>
      </c>
      <c r="O31">
        <v>956</v>
      </c>
      <c r="P31">
        <v>1096</v>
      </c>
      <c r="Q31" t="str">
        <f>IF(BikeData[[#This Row],[casual]]+BikeData[[#This Row],[registered]]=BikeData[[#This Row],[cnt]],"OK","Check")</f>
        <v>OK</v>
      </c>
      <c r="R31">
        <f>IF(BikeData[[#This Row],[yr]]=0,2011,2012)</f>
        <v>2011</v>
      </c>
      <c r="S31" t="str">
        <f>CHOOSE(BikeData[[#This Row],[season]],"Winter","Spring","Summer","Fall")</f>
        <v>Winter</v>
      </c>
      <c r="T31" t="str">
        <f>TEXT(DATE(2000,BikeData[[#This Row],[mnth]],1),"mmmm")</f>
        <v>January</v>
      </c>
      <c r="U31" t="str">
        <f>IF(BikeData[[#This Row],[workingday]]=1,"Working Day","Non-working Day")</f>
        <v>Non-working Day</v>
      </c>
      <c r="V31" t="str">
        <f>CHOOSE(BikeData[[#This Row],[weekday]]+1,"Sunday","Monday","Tuesday","Wednesday","Thursday","Friday","Saturday")</f>
        <v>Sunday</v>
      </c>
      <c r="W31" t="str">
        <f>CHOOSE(BikeData[[#This Row],[weathersit]],"Clear / Few Clouds","Mist / Cloudy","Light Rain / Snow","Heavy Rain / Snow")</f>
        <v>Clear / Few Clouds</v>
      </c>
    </row>
    <row r="32" spans="1:23" x14ac:dyDescent="0.3">
      <c r="A32">
        <v>31</v>
      </c>
      <c r="B32" s="1">
        <v>40574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>
        <v>0.18083299999999999</v>
      </c>
      <c r="K32">
        <v>0.18625</v>
      </c>
      <c r="L32">
        <v>0.60375000000000001</v>
      </c>
      <c r="M32">
        <v>0.187192</v>
      </c>
      <c r="N32">
        <v>42</v>
      </c>
      <c r="O32">
        <v>1459</v>
      </c>
      <c r="P32">
        <v>1501</v>
      </c>
      <c r="Q32" t="str">
        <f>IF(BikeData[[#This Row],[casual]]+BikeData[[#This Row],[registered]]=BikeData[[#This Row],[cnt]],"OK","Check")</f>
        <v>OK</v>
      </c>
      <c r="R32">
        <f>IF(BikeData[[#This Row],[yr]]=0,2011,2012)</f>
        <v>2011</v>
      </c>
      <c r="S32" t="str">
        <f>CHOOSE(BikeData[[#This Row],[season]],"Winter","Spring","Summer","Fall")</f>
        <v>Winter</v>
      </c>
      <c r="T32" t="str">
        <f>TEXT(DATE(2000,BikeData[[#This Row],[mnth]],1),"mmmm")</f>
        <v>January</v>
      </c>
      <c r="U32" t="str">
        <f>IF(BikeData[[#This Row],[workingday]]=1,"Working Day","Non-working Day")</f>
        <v>Working Day</v>
      </c>
      <c r="V32" t="str">
        <f>CHOOSE(BikeData[[#This Row],[weekday]]+1,"Sunday","Monday","Tuesday","Wednesday","Thursday","Friday","Saturday")</f>
        <v>Monday</v>
      </c>
      <c r="W32" t="str">
        <f>CHOOSE(BikeData[[#This Row],[weathersit]],"Clear / Few Clouds","Mist / Cloudy","Light Rain / Snow","Heavy Rain / Snow")</f>
        <v>Mist / Cloudy</v>
      </c>
    </row>
    <row r="33" spans="1:23" x14ac:dyDescent="0.3">
      <c r="A33">
        <v>32</v>
      </c>
      <c r="B33" s="1">
        <v>40575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>
        <v>0.19217400000000001</v>
      </c>
      <c r="K33">
        <v>0.23452999999999999</v>
      </c>
      <c r="L33">
        <v>0.829565</v>
      </c>
      <c r="M33">
        <v>5.3213000000000003E-2</v>
      </c>
      <c r="N33">
        <v>47</v>
      </c>
      <c r="O33">
        <v>1313</v>
      </c>
      <c r="P33">
        <v>1360</v>
      </c>
      <c r="Q33" t="str">
        <f>IF(BikeData[[#This Row],[casual]]+BikeData[[#This Row],[registered]]=BikeData[[#This Row],[cnt]],"OK","Check")</f>
        <v>OK</v>
      </c>
      <c r="R33">
        <f>IF(BikeData[[#This Row],[yr]]=0,2011,2012)</f>
        <v>2011</v>
      </c>
      <c r="S33" t="str">
        <f>CHOOSE(BikeData[[#This Row],[season]],"Winter","Spring","Summer","Fall")</f>
        <v>Winter</v>
      </c>
      <c r="T33" t="str">
        <f>TEXT(DATE(2000,BikeData[[#This Row],[mnth]],1),"mmmm")</f>
        <v>February</v>
      </c>
      <c r="U33" t="str">
        <f>IF(BikeData[[#This Row],[workingday]]=1,"Working Day","Non-working Day")</f>
        <v>Working Day</v>
      </c>
      <c r="V33" t="str">
        <f>CHOOSE(BikeData[[#This Row],[weekday]]+1,"Sunday","Monday","Tuesday","Wednesday","Thursday","Friday","Saturday")</f>
        <v>Tuesday</v>
      </c>
      <c r="W33" t="str">
        <f>CHOOSE(BikeData[[#This Row],[weathersit]],"Clear / Few Clouds","Mist / Cloudy","Light Rain / Snow","Heavy Rain / Snow")</f>
        <v>Mist / Cloudy</v>
      </c>
    </row>
    <row r="34" spans="1:23" x14ac:dyDescent="0.3">
      <c r="A34">
        <v>33</v>
      </c>
      <c r="B34" s="1">
        <v>40576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>
        <v>0.26</v>
      </c>
      <c r="K34">
        <v>0.254417</v>
      </c>
      <c r="L34">
        <v>0.77541700000000002</v>
      </c>
      <c r="M34">
        <v>0.26430799999999999</v>
      </c>
      <c r="N34">
        <v>72</v>
      </c>
      <c r="O34">
        <v>1454</v>
      </c>
      <c r="P34">
        <v>1526</v>
      </c>
      <c r="Q34" t="str">
        <f>IF(BikeData[[#This Row],[casual]]+BikeData[[#This Row],[registered]]=BikeData[[#This Row],[cnt]],"OK","Check")</f>
        <v>OK</v>
      </c>
      <c r="R34">
        <f>IF(BikeData[[#This Row],[yr]]=0,2011,2012)</f>
        <v>2011</v>
      </c>
      <c r="S34" t="str">
        <f>CHOOSE(BikeData[[#This Row],[season]],"Winter","Spring","Summer","Fall")</f>
        <v>Winter</v>
      </c>
      <c r="T34" t="str">
        <f>TEXT(DATE(2000,BikeData[[#This Row],[mnth]],1),"mmmm")</f>
        <v>February</v>
      </c>
      <c r="U34" t="str">
        <f>IF(BikeData[[#This Row],[workingday]]=1,"Working Day","Non-working Day")</f>
        <v>Working Day</v>
      </c>
      <c r="V34" t="str">
        <f>CHOOSE(BikeData[[#This Row],[weekday]]+1,"Sunday","Monday","Tuesday","Wednesday","Thursday","Friday","Saturday")</f>
        <v>Wednesday</v>
      </c>
      <c r="W34" t="str">
        <f>CHOOSE(BikeData[[#This Row],[weathersit]],"Clear / Few Clouds","Mist / Cloudy","Light Rain / Snow","Heavy Rain / Snow")</f>
        <v>Mist / Cloudy</v>
      </c>
    </row>
    <row r="35" spans="1:23" x14ac:dyDescent="0.3">
      <c r="A35">
        <v>34</v>
      </c>
      <c r="B35" s="1">
        <v>40577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>
        <v>0.18695700000000001</v>
      </c>
      <c r="K35">
        <v>0.17787800000000001</v>
      </c>
      <c r="L35">
        <v>0.43782599999999999</v>
      </c>
      <c r="M35">
        <v>0.277752</v>
      </c>
      <c r="N35">
        <v>61</v>
      </c>
      <c r="O35">
        <v>1489</v>
      </c>
      <c r="P35">
        <v>1550</v>
      </c>
      <c r="Q35" t="str">
        <f>IF(BikeData[[#This Row],[casual]]+BikeData[[#This Row],[registered]]=BikeData[[#This Row],[cnt]],"OK","Check")</f>
        <v>OK</v>
      </c>
      <c r="R35">
        <f>IF(BikeData[[#This Row],[yr]]=0,2011,2012)</f>
        <v>2011</v>
      </c>
      <c r="S35" t="str">
        <f>CHOOSE(BikeData[[#This Row],[season]],"Winter","Spring","Summer","Fall")</f>
        <v>Winter</v>
      </c>
      <c r="T35" t="str">
        <f>TEXT(DATE(2000,BikeData[[#This Row],[mnth]],1),"mmmm")</f>
        <v>February</v>
      </c>
      <c r="U35" t="str">
        <f>IF(BikeData[[#This Row],[workingday]]=1,"Working Day","Non-working Day")</f>
        <v>Working Day</v>
      </c>
      <c r="V35" t="str">
        <f>CHOOSE(BikeData[[#This Row],[weekday]]+1,"Sunday","Monday","Tuesday","Wednesday","Thursday","Friday","Saturday")</f>
        <v>Thursday</v>
      </c>
      <c r="W35" t="str">
        <f>CHOOSE(BikeData[[#This Row],[weathersit]],"Clear / Few Clouds","Mist / Cloudy","Light Rain / Snow","Heavy Rain / Snow")</f>
        <v>Clear / Few Clouds</v>
      </c>
    </row>
    <row r="36" spans="1:23" x14ac:dyDescent="0.3">
      <c r="A36">
        <v>35</v>
      </c>
      <c r="B36" s="1">
        <v>40578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>
        <v>0.21130399999999999</v>
      </c>
      <c r="K36">
        <v>0.22858700000000001</v>
      </c>
      <c r="L36">
        <v>0.58521699999999999</v>
      </c>
      <c r="M36">
        <v>0.12783900000000001</v>
      </c>
      <c r="N36">
        <v>88</v>
      </c>
      <c r="O36">
        <v>1620</v>
      </c>
      <c r="P36">
        <v>1708</v>
      </c>
      <c r="Q36" t="str">
        <f>IF(BikeData[[#This Row],[casual]]+BikeData[[#This Row],[registered]]=BikeData[[#This Row],[cnt]],"OK","Check")</f>
        <v>OK</v>
      </c>
      <c r="R36">
        <f>IF(BikeData[[#This Row],[yr]]=0,2011,2012)</f>
        <v>2011</v>
      </c>
      <c r="S36" t="str">
        <f>CHOOSE(BikeData[[#This Row],[season]],"Winter","Spring","Summer","Fall")</f>
        <v>Winter</v>
      </c>
      <c r="T36" t="str">
        <f>TEXT(DATE(2000,BikeData[[#This Row],[mnth]],1),"mmmm")</f>
        <v>February</v>
      </c>
      <c r="U36" t="str">
        <f>IF(BikeData[[#This Row],[workingday]]=1,"Working Day","Non-working Day")</f>
        <v>Working Day</v>
      </c>
      <c r="V36" t="str">
        <f>CHOOSE(BikeData[[#This Row],[weekday]]+1,"Sunday","Monday","Tuesday","Wednesday","Thursday","Friday","Saturday")</f>
        <v>Friday</v>
      </c>
      <c r="W36" t="str">
        <f>CHOOSE(BikeData[[#This Row],[weathersit]],"Clear / Few Clouds","Mist / Cloudy","Light Rain / Snow","Heavy Rain / Snow")</f>
        <v>Mist / Cloudy</v>
      </c>
    </row>
    <row r="37" spans="1:23" x14ac:dyDescent="0.3">
      <c r="A37">
        <v>36</v>
      </c>
      <c r="B37" s="1">
        <v>40579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>
        <v>0.23333300000000001</v>
      </c>
      <c r="K37">
        <v>0.243058</v>
      </c>
      <c r="L37">
        <v>0.92916699999999997</v>
      </c>
      <c r="M37">
        <v>0.161079</v>
      </c>
      <c r="N37">
        <v>100</v>
      </c>
      <c r="O37">
        <v>905</v>
      </c>
      <c r="P37">
        <v>1005</v>
      </c>
      <c r="Q37" t="str">
        <f>IF(BikeData[[#This Row],[casual]]+BikeData[[#This Row],[registered]]=BikeData[[#This Row],[cnt]],"OK","Check")</f>
        <v>OK</v>
      </c>
      <c r="R37">
        <f>IF(BikeData[[#This Row],[yr]]=0,2011,2012)</f>
        <v>2011</v>
      </c>
      <c r="S37" t="str">
        <f>CHOOSE(BikeData[[#This Row],[season]],"Winter","Spring","Summer","Fall")</f>
        <v>Winter</v>
      </c>
      <c r="T37" t="str">
        <f>TEXT(DATE(2000,BikeData[[#This Row],[mnth]],1),"mmmm")</f>
        <v>February</v>
      </c>
      <c r="U37" t="str">
        <f>IF(BikeData[[#This Row],[workingday]]=1,"Working Day","Non-working Day")</f>
        <v>Non-working Day</v>
      </c>
      <c r="V37" t="str">
        <f>CHOOSE(BikeData[[#This Row],[weekday]]+1,"Sunday","Monday","Tuesday","Wednesday","Thursday","Friday","Saturday")</f>
        <v>Saturday</v>
      </c>
      <c r="W37" t="str">
        <f>CHOOSE(BikeData[[#This Row],[weathersit]],"Clear / Few Clouds","Mist / Cloudy","Light Rain / Snow","Heavy Rain / Snow")</f>
        <v>Mist / Cloudy</v>
      </c>
    </row>
    <row r="38" spans="1:23" x14ac:dyDescent="0.3">
      <c r="A38">
        <v>37</v>
      </c>
      <c r="B38" s="1">
        <v>40580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>
        <v>0.285833</v>
      </c>
      <c r="K38">
        <v>0.29167100000000001</v>
      </c>
      <c r="L38">
        <v>0.56833299999999998</v>
      </c>
      <c r="M38">
        <v>0.14180000000000001</v>
      </c>
      <c r="N38">
        <v>354</v>
      </c>
      <c r="O38">
        <v>1269</v>
      </c>
      <c r="P38">
        <v>1623</v>
      </c>
      <c r="Q38" t="str">
        <f>IF(BikeData[[#This Row],[casual]]+BikeData[[#This Row],[registered]]=BikeData[[#This Row],[cnt]],"OK","Check")</f>
        <v>OK</v>
      </c>
      <c r="R38">
        <f>IF(BikeData[[#This Row],[yr]]=0,2011,2012)</f>
        <v>2011</v>
      </c>
      <c r="S38" t="str">
        <f>CHOOSE(BikeData[[#This Row],[season]],"Winter","Spring","Summer","Fall")</f>
        <v>Winter</v>
      </c>
      <c r="T38" t="str">
        <f>TEXT(DATE(2000,BikeData[[#This Row],[mnth]],1),"mmmm")</f>
        <v>February</v>
      </c>
      <c r="U38" t="str">
        <f>IF(BikeData[[#This Row],[workingday]]=1,"Working Day","Non-working Day")</f>
        <v>Non-working Day</v>
      </c>
      <c r="V38" t="str">
        <f>CHOOSE(BikeData[[#This Row],[weekday]]+1,"Sunday","Monday","Tuesday","Wednesday","Thursday","Friday","Saturday")</f>
        <v>Sunday</v>
      </c>
      <c r="W38" t="str">
        <f>CHOOSE(BikeData[[#This Row],[weathersit]],"Clear / Few Clouds","Mist / Cloudy","Light Rain / Snow","Heavy Rain / Snow")</f>
        <v>Clear / Few Clouds</v>
      </c>
    </row>
    <row r="39" spans="1:23" x14ac:dyDescent="0.3">
      <c r="A39">
        <v>38</v>
      </c>
      <c r="B39" s="1">
        <v>40581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>
        <v>0.27166699999999999</v>
      </c>
      <c r="K39">
        <v>0.30365799999999998</v>
      </c>
      <c r="L39">
        <v>0.73833300000000002</v>
      </c>
      <c r="M39">
        <v>4.5408299999999999E-2</v>
      </c>
      <c r="N39">
        <v>120</v>
      </c>
      <c r="O39">
        <v>1592</v>
      </c>
      <c r="P39">
        <v>1712</v>
      </c>
      <c r="Q39" t="str">
        <f>IF(BikeData[[#This Row],[casual]]+BikeData[[#This Row],[registered]]=BikeData[[#This Row],[cnt]],"OK","Check")</f>
        <v>OK</v>
      </c>
      <c r="R39">
        <f>IF(BikeData[[#This Row],[yr]]=0,2011,2012)</f>
        <v>2011</v>
      </c>
      <c r="S39" t="str">
        <f>CHOOSE(BikeData[[#This Row],[season]],"Winter","Spring","Summer","Fall")</f>
        <v>Winter</v>
      </c>
      <c r="T39" t="str">
        <f>TEXT(DATE(2000,BikeData[[#This Row],[mnth]],1),"mmmm")</f>
        <v>February</v>
      </c>
      <c r="U39" t="str">
        <f>IF(BikeData[[#This Row],[workingday]]=1,"Working Day","Non-working Day")</f>
        <v>Working Day</v>
      </c>
      <c r="V39" t="str">
        <f>CHOOSE(BikeData[[#This Row],[weekday]]+1,"Sunday","Monday","Tuesday","Wednesday","Thursday","Friday","Saturday")</f>
        <v>Monday</v>
      </c>
      <c r="W39" t="str">
        <f>CHOOSE(BikeData[[#This Row],[weathersit]],"Clear / Few Clouds","Mist / Cloudy","Light Rain / Snow","Heavy Rain / Snow")</f>
        <v>Clear / Few Clouds</v>
      </c>
    </row>
    <row r="40" spans="1:23" x14ac:dyDescent="0.3">
      <c r="A40">
        <v>39</v>
      </c>
      <c r="B40" s="1">
        <v>40582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>
        <v>0.220833</v>
      </c>
      <c r="K40">
        <v>0.19824600000000001</v>
      </c>
      <c r="L40">
        <v>0.53791699999999998</v>
      </c>
      <c r="M40">
        <v>0.36194999999999999</v>
      </c>
      <c r="N40">
        <v>64</v>
      </c>
      <c r="O40">
        <v>1466</v>
      </c>
      <c r="P40">
        <v>1530</v>
      </c>
      <c r="Q40" t="str">
        <f>IF(BikeData[[#This Row],[casual]]+BikeData[[#This Row],[registered]]=BikeData[[#This Row],[cnt]],"OK","Check")</f>
        <v>OK</v>
      </c>
      <c r="R40">
        <f>IF(BikeData[[#This Row],[yr]]=0,2011,2012)</f>
        <v>2011</v>
      </c>
      <c r="S40" t="str">
        <f>CHOOSE(BikeData[[#This Row],[season]],"Winter","Spring","Summer","Fall")</f>
        <v>Winter</v>
      </c>
      <c r="T40" t="str">
        <f>TEXT(DATE(2000,BikeData[[#This Row],[mnth]],1),"mmmm")</f>
        <v>February</v>
      </c>
      <c r="U40" t="str">
        <f>IF(BikeData[[#This Row],[workingday]]=1,"Working Day","Non-working Day")</f>
        <v>Working Day</v>
      </c>
      <c r="V40" t="str">
        <f>CHOOSE(BikeData[[#This Row],[weekday]]+1,"Sunday","Monday","Tuesday","Wednesday","Thursday","Friday","Saturday")</f>
        <v>Tuesday</v>
      </c>
      <c r="W40" t="str">
        <f>CHOOSE(BikeData[[#This Row],[weathersit]],"Clear / Few Clouds","Mist / Cloudy","Light Rain / Snow","Heavy Rain / Snow")</f>
        <v>Clear / Few Clouds</v>
      </c>
    </row>
    <row r="41" spans="1:23" x14ac:dyDescent="0.3">
      <c r="A41">
        <v>40</v>
      </c>
      <c r="B41" s="1">
        <v>40583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>
        <v>0.13478299999999999</v>
      </c>
      <c r="K41">
        <v>0.14428299999999999</v>
      </c>
      <c r="L41">
        <v>0.49478299999999997</v>
      </c>
      <c r="M41">
        <v>0.18883900000000001</v>
      </c>
      <c r="N41">
        <v>53</v>
      </c>
      <c r="O41">
        <v>1552</v>
      </c>
      <c r="P41">
        <v>1605</v>
      </c>
      <c r="Q41" t="str">
        <f>IF(BikeData[[#This Row],[casual]]+BikeData[[#This Row],[registered]]=BikeData[[#This Row],[cnt]],"OK","Check")</f>
        <v>OK</v>
      </c>
      <c r="R41">
        <f>IF(BikeData[[#This Row],[yr]]=0,2011,2012)</f>
        <v>2011</v>
      </c>
      <c r="S41" t="str">
        <f>CHOOSE(BikeData[[#This Row],[season]],"Winter","Spring","Summer","Fall")</f>
        <v>Winter</v>
      </c>
      <c r="T41" t="str">
        <f>TEXT(DATE(2000,BikeData[[#This Row],[mnth]],1),"mmmm")</f>
        <v>February</v>
      </c>
      <c r="U41" t="str">
        <f>IF(BikeData[[#This Row],[workingday]]=1,"Working Day","Non-working Day")</f>
        <v>Working Day</v>
      </c>
      <c r="V41" t="str">
        <f>CHOOSE(BikeData[[#This Row],[weekday]]+1,"Sunday","Monday","Tuesday","Wednesday","Thursday","Friday","Saturday")</f>
        <v>Wednesday</v>
      </c>
      <c r="W41" t="str">
        <f>CHOOSE(BikeData[[#This Row],[weathersit]],"Clear / Few Clouds","Mist / Cloudy","Light Rain / Snow","Heavy Rain / Snow")</f>
        <v>Mist / Cloudy</v>
      </c>
    </row>
    <row r="42" spans="1:23" x14ac:dyDescent="0.3">
      <c r="A42">
        <v>41</v>
      </c>
      <c r="B42" s="1">
        <v>40584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>
        <v>0.144348</v>
      </c>
      <c r="K42">
        <v>0.14954799999999999</v>
      </c>
      <c r="L42">
        <v>0.43739099999999997</v>
      </c>
      <c r="M42">
        <v>0.22193499999999999</v>
      </c>
      <c r="N42">
        <v>47</v>
      </c>
      <c r="O42">
        <v>1491</v>
      </c>
      <c r="P42">
        <v>1538</v>
      </c>
      <c r="Q42" t="str">
        <f>IF(BikeData[[#This Row],[casual]]+BikeData[[#This Row],[registered]]=BikeData[[#This Row],[cnt]],"OK","Check")</f>
        <v>OK</v>
      </c>
      <c r="R42">
        <f>IF(BikeData[[#This Row],[yr]]=0,2011,2012)</f>
        <v>2011</v>
      </c>
      <c r="S42" t="str">
        <f>CHOOSE(BikeData[[#This Row],[season]],"Winter","Spring","Summer","Fall")</f>
        <v>Winter</v>
      </c>
      <c r="T42" t="str">
        <f>TEXT(DATE(2000,BikeData[[#This Row],[mnth]],1),"mmmm")</f>
        <v>February</v>
      </c>
      <c r="U42" t="str">
        <f>IF(BikeData[[#This Row],[workingday]]=1,"Working Day","Non-working Day")</f>
        <v>Working Day</v>
      </c>
      <c r="V42" t="str">
        <f>CHOOSE(BikeData[[#This Row],[weekday]]+1,"Sunday","Monday","Tuesday","Wednesday","Thursday","Friday","Saturday")</f>
        <v>Thursday</v>
      </c>
      <c r="W42" t="str">
        <f>CHOOSE(BikeData[[#This Row],[weathersit]],"Clear / Few Clouds","Mist / Cloudy","Light Rain / Snow","Heavy Rain / Snow")</f>
        <v>Clear / Few Clouds</v>
      </c>
    </row>
    <row r="43" spans="1:23" x14ac:dyDescent="0.3">
      <c r="A43">
        <v>42</v>
      </c>
      <c r="B43" s="1">
        <v>40585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>
        <v>0.18909100000000001</v>
      </c>
      <c r="K43">
        <v>0.213509</v>
      </c>
      <c r="L43">
        <v>0.50636400000000004</v>
      </c>
      <c r="M43">
        <v>0.10854999999999999</v>
      </c>
      <c r="N43">
        <v>149</v>
      </c>
      <c r="O43">
        <v>1597</v>
      </c>
      <c r="P43">
        <v>1746</v>
      </c>
      <c r="Q43" t="str">
        <f>IF(BikeData[[#This Row],[casual]]+BikeData[[#This Row],[registered]]=BikeData[[#This Row],[cnt]],"OK","Check")</f>
        <v>OK</v>
      </c>
      <c r="R43">
        <f>IF(BikeData[[#This Row],[yr]]=0,2011,2012)</f>
        <v>2011</v>
      </c>
      <c r="S43" t="str">
        <f>CHOOSE(BikeData[[#This Row],[season]],"Winter","Spring","Summer","Fall")</f>
        <v>Winter</v>
      </c>
      <c r="T43" t="str">
        <f>TEXT(DATE(2000,BikeData[[#This Row],[mnth]],1),"mmmm")</f>
        <v>February</v>
      </c>
      <c r="U43" t="str">
        <f>IF(BikeData[[#This Row],[workingday]]=1,"Working Day","Non-working Day")</f>
        <v>Working Day</v>
      </c>
      <c r="V43" t="str">
        <f>CHOOSE(BikeData[[#This Row],[weekday]]+1,"Sunday","Monday","Tuesday","Wednesday","Thursday","Friday","Saturday")</f>
        <v>Friday</v>
      </c>
      <c r="W43" t="str">
        <f>CHOOSE(BikeData[[#This Row],[weathersit]],"Clear / Few Clouds","Mist / Cloudy","Light Rain / Snow","Heavy Rain / Snow")</f>
        <v>Clear / Few Clouds</v>
      </c>
    </row>
    <row r="44" spans="1:23" x14ac:dyDescent="0.3">
      <c r="A44">
        <v>43</v>
      </c>
      <c r="B44" s="1">
        <v>40586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>
        <v>0.2225</v>
      </c>
      <c r="K44">
        <v>0.23295399999999999</v>
      </c>
      <c r="L44">
        <v>0.54416699999999996</v>
      </c>
      <c r="M44">
        <v>0.20336699999999999</v>
      </c>
      <c r="N44">
        <v>288</v>
      </c>
      <c r="O44">
        <v>1184</v>
      </c>
      <c r="P44">
        <v>1472</v>
      </c>
      <c r="Q44" t="str">
        <f>IF(BikeData[[#This Row],[casual]]+BikeData[[#This Row],[registered]]=BikeData[[#This Row],[cnt]],"OK","Check")</f>
        <v>OK</v>
      </c>
      <c r="R44">
        <f>IF(BikeData[[#This Row],[yr]]=0,2011,2012)</f>
        <v>2011</v>
      </c>
      <c r="S44" t="str">
        <f>CHOOSE(BikeData[[#This Row],[season]],"Winter","Spring","Summer","Fall")</f>
        <v>Winter</v>
      </c>
      <c r="T44" t="str">
        <f>TEXT(DATE(2000,BikeData[[#This Row],[mnth]],1),"mmmm")</f>
        <v>February</v>
      </c>
      <c r="U44" t="str">
        <f>IF(BikeData[[#This Row],[workingday]]=1,"Working Day","Non-working Day")</f>
        <v>Non-working Day</v>
      </c>
      <c r="V44" t="str">
        <f>CHOOSE(BikeData[[#This Row],[weekday]]+1,"Sunday","Monday","Tuesday","Wednesday","Thursday","Friday","Saturday")</f>
        <v>Saturday</v>
      </c>
      <c r="W44" t="str">
        <f>CHOOSE(BikeData[[#This Row],[weathersit]],"Clear / Few Clouds","Mist / Cloudy","Light Rain / Snow","Heavy Rain / Snow")</f>
        <v>Clear / Few Clouds</v>
      </c>
    </row>
    <row r="45" spans="1:23" x14ac:dyDescent="0.3">
      <c r="A45">
        <v>44</v>
      </c>
      <c r="B45" s="1">
        <v>40587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0.31652200000000003</v>
      </c>
      <c r="K45">
        <v>0.32411299999999998</v>
      </c>
      <c r="L45">
        <v>0.45739099999999999</v>
      </c>
      <c r="M45">
        <v>0.26088299999999998</v>
      </c>
      <c r="N45">
        <v>397</v>
      </c>
      <c r="O45">
        <v>1192</v>
      </c>
      <c r="P45">
        <v>1589</v>
      </c>
      <c r="Q45" t="str">
        <f>IF(BikeData[[#This Row],[casual]]+BikeData[[#This Row],[registered]]=BikeData[[#This Row],[cnt]],"OK","Check")</f>
        <v>OK</v>
      </c>
      <c r="R45">
        <f>IF(BikeData[[#This Row],[yr]]=0,2011,2012)</f>
        <v>2011</v>
      </c>
      <c r="S45" t="str">
        <f>CHOOSE(BikeData[[#This Row],[season]],"Winter","Spring","Summer","Fall")</f>
        <v>Winter</v>
      </c>
      <c r="T45" t="str">
        <f>TEXT(DATE(2000,BikeData[[#This Row],[mnth]],1),"mmmm")</f>
        <v>February</v>
      </c>
      <c r="U45" t="str">
        <f>IF(BikeData[[#This Row],[workingday]]=1,"Working Day","Non-working Day")</f>
        <v>Non-working Day</v>
      </c>
      <c r="V45" t="str">
        <f>CHOOSE(BikeData[[#This Row],[weekday]]+1,"Sunday","Monday","Tuesday","Wednesday","Thursday","Friday","Saturday")</f>
        <v>Sunday</v>
      </c>
      <c r="W45" t="str">
        <f>CHOOSE(BikeData[[#This Row],[weathersit]],"Clear / Few Clouds","Mist / Cloudy","Light Rain / Snow","Heavy Rain / Snow")</f>
        <v>Clear / Few Clouds</v>
      </c>
    </row>
    <row r="46" spans="1:23" x14ac:dyDescent="0.3">
      <c r="A46">
        <v>45</v>
      </c>
      <c r="B46" s="1">
        <v>40588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>
        <v>0.41499999999999998</v>
      </c>
      <c r="K46">
        <v>0.39834999999999998</v>
      </c>
      <c r="L46">
        <v>0.37583299999999997</v>
      </c>
      <c r="M46">
        <v>0.417908</v>
      </c>
      <c r="N46">
        <v>208</v>
      </c>
      <c r="O46">
        <v>1705</v>
      </c>
      <c r="P46">
        <v>1913</v>
      </c>
      <c r="Q46" t="str">
        <f>IF(BikeData[[#This Row],[casual]]+BikeData[[#This Row],[registered]]=BikeData[[#This Row],[cnt]],"OK","Check")</f>
        <v>OK</v>
      </c>
      <c r="R46">
        <f>IF(BikeData[[#This Row],[yr]]=0,2011,2012)</f>
        <v>2011</v>
      </c>
      <c r="S46" t="str">
        <f>CHOOSE(BikeData[[#This Row],[season]],"Winter","Spring","Summer","Fall")</f>
        <v>Winter</v>
      </c>
      <c r="T46" t="str">
        <f>TEXT(DATE(2000,BikeData[[#This Row],[mnth]],1),"mmmm")</f>
        <v>February</v>
      </c>
      <c r="U46" t="str">
        <f>IF(BikeData[[#This Row],[workingday]]=1,"Working Day","Non-working Day")</f>
        <v>Working Day</v>
      </c>
      <c r="V46" t="str">
        <f>CHOOSE(BikeData[[#This Row],[weekday]]+1,"Sunday","Monday","Tuesday","Wednesday","Thursday","Friday","Saturday")</f>
        <v>Monday</v>
      </c>
      <c r="W46" t="str">
        <f>CHOOSE(BikeData[[#This Row],[weathersit]],"Clear / Few Clouds","Mist / Cloudy","Light Rain / Snow","Heavy Rain / Snow")</f>
        <v>Clear / Few Clouds</v>
      </c>
    </row>
    <row r="47" spans="1:23" x14ac:dyDescent="0.3">
      <c r="A47">
        <v>46</v>
      </c>
      <c r="B47" s="1">
        <v>40589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>
        <v>0.26608700000000002</v>
      </c>
      <c r="K47">
        <v>0.254274</v>
      </c>
      <c r="L47">
        <v>0.31434800000000002</v>
      </c>
      <c r="M47">
        <v>0.29137400000000002</v>
      </c>
      <c r="N47">
        <v>140</v>
      </c>
      <c r="O47">
        <v>1675</v>
      </c>
      <c r="P47">
        <v>1815</v>
      </c>
      <c r="Q47" t="str">
        <f>IF(BikeData[[#This Row],[casual]]+BikeData[[#This Row],[registered]]=BikeData[[#This Row],[cnt]],"OK","Check")</f>
        <v>OK</v>
      </c>
      <c r="R47">
        <f>IF(BikeData[[#This Row],[yr]]=0,2011,2012)</f>
        <v>2011</v>
      </c>
      <c r="S47" t="str">
        <f>CHOOSE(BikeData[[#This Row],[season]],"Winter","Spring","Summer","Fall")</f>
        <v>Winter</v>
      </c>
      <c r="T47" t="str">
        <f>TEXT(DATE(2000,BikeData[[#This Row],[mnth]],1),"mmmm")</f>
        <v>February</v>
      </c>
      <c r="U47" t="str">
        <f>IF(BikeData[[#This Row],[workingday]]=1,"Working Day","Non-working Day")</f>
        <v>Working Day</v>
      </c>
      <c r="V47" t="str">
        <f>CHOOSE(BikeData[[#This Row],[weekday]]+1,"Sunday","Monday","Tuesday","Wednesday","Thursday","Friday","Saturday")</f>
        <v>Tuesday</v>
      </c>
      <c r="W47" t="str">
        <f>CHOOSE(BikeData[[#This Row],[weathersit]],"Clear / Few Clouds","Mist / Cloudy","Light Rain / Snow","Heavy Rain / Snow")</f>
        <v>Clear / Few Clouds</v>
      </c>
    </row>
    <row r="48" spans="1:23" x14ac:dyDescent="0.3">
      <c r="A48">
        <v>47</v>
      </c>
      <c r="B48" s="1">
        <v>40590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>
        <v>0.31826100000000002</v>
      </c>
      <c r="K48">
        <v>0.31619999999999998</v>
      </c>
      <c r="L48">
        <v>0.42347800000000002</v>
      </c>
      <c r="M48">
        <v>0.25179099999999999</v>
      </c>
      <c r="N48">
        <v>218</v>
      </c>
      <c r="O48">
        <v>1897</v>
      </c>
      <c r="P48">
        <v>2115</v>
      </c>
      <c r="Q48" t="str">
        <f>IF(BikeData[[#This Row],[casual]]+BikeData[[#This Row],[registered]]=BikeData[[#This Row],[cnt]],"OK","Check")</f>
        <v>OK</v>
      </c>
      <c r="R48">
        <f>IF(BikeData[[#This Row],[yr]]=0,2011,2012)</f>
        <v>2011</v>
      </c>
      <c r="S48" t="str">
        <f>CHOOSE(BikeData[[#This Row],[season]],"Winter","Spring","Summer","Fall")</f>
        <v>Winter</v>
      </c>
      <c r="T48" t="str">
        <f>TEXT(DATE(2000,BikeData[[#This Row],[mnth]],1),"mmmm")</f>
        <v>February</v>
      </c>
      <c r="U48" t="str">
        <f>IF(BikeData[[#This Row],[workingday]]=1,"Working Day","Non-working Day")</f>
        <v>Working Day</v>
      </c>
      <c r="V48" t="str">
        <f>CHOOSE(BikeData[[#This Row],[weekday]]+1,"Sunday","Monday","Tuesday","Wednesday","Thursday","Friday","Saturday")</f>
        <v>Wednesday</v>
      </c>
      <c r="W48" t="str">
        <f>CHOOSE(BikeData[[#This Row],[weathersit]],"Clear / Few Clouds","Mist / Cloudy","Light Rain / Snow","Heavy Rain / Snow")</f>
        <v>Clear / Few Clouds</v>
      </c>
    </row>
    <row r="49" spans="1:23" x14ac:dyDescent="0.3">
      <c r="A49">
        <v>48</v>
      </c>
      <c r="B49" s="1">
        <v>40591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>
        <v>0.43583300000000003</v>
      </c>
      <c r="K49">
        <v>0.42865799999999998</v>
      </c>
      <c r="L49">
        <v>0.505</v>
      </c>
      <c r="M49">
        <v>0.230104</v>
      </c>
      <c r="N49">
        <v>259</v>
      </c>
      <c r="O49">
        <v>2216</v>
      </c>
      <c r="P49">
        <v>2475</v>
      </c>
      <c r="Q49" t="str">
        <f>IF(BikeData[[#This Row],[casual]]+BikeData[[#This Row],[registered]]=BikeData[[#This Row],[cnt]],"OK","Check")</f>
        <v>OK</v>
      </c>
      <c r="R49">
        <f>IF(BikeData[[#This Row],[yr]]=0,2011,2012)</f>
        <v>2011</v>
      </c>
      <c r="S49" t="str">
        <f>CHOOSE(BikeData[[#This Row],[season]],"Winter","Spring","Summer","Fall")</f>
        <v>Winter</v>
      </c>
      <c r="T49" t="str">
        <f>TEXT(DATE(2000,BikeData[[#This Row],[mnth]],1),"mmmm")</f>
        <v>February</v>
      </c>
      <c r="U49" t="str">
        <f>IF(BikeData[[#This Row],[workingday]]=1,"Working Day","Non-working Day")</f>
        <v>Working Day</v>
      </c>
      <c r="V49" t="str">
        <f>CHOOSE(BikeData[[#This Row],[weekday]]+1,"Sunday","Monday","Tuesday","Wednesday","Thursday","Friday","Saturday")</f>
        <v>Thursday</v>
      </c>
      <c r="W49" t="str">
        <f>CHOOSE(BikeData[[#This Row],[weathersit]],"Clear / Few Clouds","Mist / Cloudy","Light Rain / Snow","Heavy Rain / Snow")</f>
        <v>Clear / Few Clouds</v>
      </c>
    </row>
    <row r="50" spans="1:23" x14ac:dyDescent="0.3">
      <c r="A50">
        <v>49</v>
      </c>
      <c r="B50" s="1">
        <v>40592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>
        <v>0.52166699999999999</v>
      </c>
      <c r="K50">
        <v>0.51198299999999997</v>
      </c>
      <c r="L50">
        <v>0.51666699999999999</v>
      </c>
      <c r="M50">
        <v>0.26492500000000002</v>
      </c>
      <c r="N50">
        <v>579</v>
      </c>
      <c r="O50">
        <v>2348</v>
      </c>
      <c r="P50">
        <v>2927</v>
      </c>
      <c r="Q50" t="str">
        <f>IF(BikeData[[#This Row],[casual]]+BikeData[[#This Row],[registered]]=BikeData[[#This Row],[cnt]],"OK","Check")</f>
        <v>OK</v>
      </c>
      <c r="R50">
        <f>IF(BikeData[[#This Row],[yr]]=0,2011,2012)</f>
        <v>2011</v>
      </c>
      <c r="S50" t="str">
        <f>CHOOSE(BikeData[[#This Row],[season]],"Winter","Spring","Summer","Fall")</f>
        <v>Winter</v>
      </c>
      <c r="T50" t="str">
        <f>TEXT(DATE(2000,BikeData[[#This Row],[mnth]],1),"mmmm")</f>
        <v>February</v>
      </c>
      <c r="U50" t="str">
        <f>IF(BikeData[[#This Row],[workingday]]=1,"Working Day","Non-working Day")</f>
        <v>Working Day</v>
      </c>
      <c r="V50" t="str">
        <f>CHOOSE(BikeData[[#This Row],[weekday]]+1,"Sunday","Monday","Tuesday","Wednesday","Thursday","Friday","Saturday")</f>
        <v>Friday</v>
      </c>
      <c r="W50" t="str">
        <f>CHOOSE(BikeData[[#This Row],[weathersit]],"Clear / Few Clouds","Mist / Cloudy","Light Rain / Snow","Heavy Rain / Snow")</f>
        <v>Clear / Few Clouds</v>
      </c>
    </row>
    <row r="51" spans="1:23" x14ac:dyDescent="0.3">
      <c r="A51">
        <v>50</v>
      </c>
      <c r="B51" s="1">
        <v>40593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>
        <v>0.39916699999999999</v>
      </c>
      <c r="K51">
        <v>0.39140399999999997</v>
      </c>
      <c r="L51">
        <v>0.187917</v>
      </c>
      <c r="M51">
        <v>0.507463</v>
      </c>
      <c r="N51">
        <v>532</v>
      </c>
      <c r="O51">
        <v>1103</v>
      </c>
      <c r="P51">
        <v>1635</v>
      </c>
      <c r="Q51" t="str">
        <f>IF(BikeData[[#This Row],[casual]]+BikeData[[#This Row],[registered]]=BikeData[[#This Row],[cnt]],"OK","Check")</f>
        <v>OK</v>
      </c>
      <c r="R51">
        <f>IF(BikeData[[#This Row],[yr]]=0,2011,2012)</f>
        <v>2011</v>
      </c>
      <c r="S51" t="str">
        <f>CHOOSE(BikeData[[#This Row],[season]],"Winter","Spring","Summer","Fall")</f>
        <v>Winter</v>
      </c>
      <c r="T51" t="str">
        <f>TEXT(DATE(2000,BikeData[[#This Row],[mnth]],1),"mmmm")</f>
        <v>February</v>
      </c>
      <c r="U51" t="str">
        <f>IF(BikeData[[#This Row],[workingday]]=1,"Working Day","Non-working Day")</f>
        <v>Non-working Day</v>
      </c>
      <c r="V51" t="str">
        <f>CHOOSE(BikeData[[#This Row],[weekday]]+1,"Sunday","Monday","Tuesday","Wednesday","Thursday","Friday","Saturday")</f>
        <v>Saturday</v>
      </c>
      <c r="W51" t="str">
        <f>CHOOSE(BikeData[[#This Row],[weathersit]],"Clear / Few Clouds","Mist / Cloudy","Light Rain / Snow","Heavy Rain / Snow")</f>
        <v>Clear / Few Clouds</v>
      </c>
    </row>
    <row r="52" spans="1:23" x14ac:dyDescent="0.3">
      <c r="A52">
        <v>51</v>
      </c>
      <c r="B52" s="1">
        <v>40594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0.285217</v>
      </c>
      <c r="K52">
        <v>0.27733000000000002</v>
      </c>
      <c r="L52">
        <v>0.40782600000000002</v>
      </c>
      <c r="M52">
        <v>0.22323499999999999</v>
      </c>
      <c r="N52">
        <v>639</v>
      </c>
      <c r="O52">
        <v>1173</v>
      </c>
      <c r="P52">
        <v>1812</v>
      </c>
      <c r="Q52" t="str">
        <f>IF(BikeData[[#This Row],[casual]]+BikeData[[#This Row],[registered]]=BikeData[[#This Row],[cnt]],"OK","Check")</f>
        <v>OK</v>
      </c>
      <c r="R52">
        <f>IF(BikeData[[#This Row],[yr]]=0,2011,2012)</f>
        <v>2011</v>
      </c>
      <c r="S52" t="str">
        <f>CHOOSE(BikeData[[#This Row],[season]],"Winter","Spring","Summer","Fall")</f>
        <v>Winter</v>
      </c>
      <c r="T52" t="str">
        <f>TEXT(DATE(2000,BikeData[[#This Row],[mnth]],1),"mmmm")</f>
        <v>February</v>
      </c>
      <c r="U52" t="str">
        <f>IF(BikeData[[#This Row],[workingday]]=1,"Working Day","Non-working Day")</f>
        <v>Non-working Day</v>
      </c>
      <c r="V52" t="str">
        <f>CHOOSE(BikeData[[#This Row],[weekday]]+1,"Sunday","Monday","Tuesday","Wednesday","Thursday","Friday","Saturday")</f>
        <v>Sunday</v>
      </c>
      <c r="W52" t="str">
        <f>CHOOSE(BikeData[[#This Row],[weathersit]],"Clear / Few Clouds","Mist / Cloudy","Light Rain / Snow","Heavy Rain / Snow")</f>
        <v>Clear / Few Clouds</v>
      </c>
    </row>
    <row r="53" spans="1:23" x14ac:dyDescent="0.3">
      <c r="A53">
        <v>52</v>
      </c>
      <c r="B53" s="1">
        <v>40595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>
        <v>0.30333300000000002</v>
      </c>
      <c r="K53">
        <v>0.28407500000000002</v>
      </c>
      <c r="L53">
        <v>0.60499999999999998</v>
      </c>
      <c r="M53">
        <v>0.30784600000000001</v>
      </c>
      <c r="N53">
        <v>195</v>
      </c>
      <c r="O53">
        <v>912</v>
      </c>
      <c r="P53">
        <v>1107</v>
      </c>
      <c r="Q53" t="str">
        <f>IF(BikeData[[#This Row],[casual]]+BikeData[[#This Row],[registered]]=BikeData[[#This Row],[cnt]],"OK","Check")</f>
        <v>OK</v>
      </c>
      <c r="R53">
        <f>IF(BikeData[[#This Row],[yr]]=0,2011,2012)</f>
        <v>2011</v>
      </c>
      <c r="S53" t="str">
        <f>CHOOSE(BikeData[[#This Row],[season]],"Winter","Spring","Summer","Fall")</f>
        <v>Winter</v>
      </c>
      <c r="T53" t="str">
        <f>TEXT(DATE(2000,BikeData[[#This Row],[mnth]],1),"mmmm")</f>
        <v>February</v>
      </c>
      <c r="U53" t="str">
        <f>IF(BikeData[[#This Row],[workingday]]=1,"Working Day","Non-working Day")</f>
        <v>Non-working Day</v>
      </c>
      <c r="V53" t="str">
        <f>CHOOSE(BikeData[[#This Row],[weekday]]+1,"Sunday","Monday","Tuesday","Wednesday","Thursday","Friday","Saturday")</f>
        <v>Monday</v>
      </c>
      <c r="W53" t="str">
        <f>CHOOSE(BikeData[[#This Row],[weathersit]],"Clear / Few Clouds","Mist / Cloudy","Light Rain / Snow","Heavy Rain / Snow")</f>
        <v>Mist / Cloudy</v>
      </c>
    </row>
    <row r="54" spans="1:23" x14ac:dyDescent="0.3">
      <c r="A54">
        <v>53</v>
      </c>
      <c r="B54" s="1">
        <v>40596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>
        <v>0.182222</v>
      </c>
      <c r="K54">
        <v>0.186033</v>
      </c>
      <c r="L54">
        <v>0.57777800000000001</v>
      </c>
      <c r="M54">
        <v>0.195683</v>
      </c>
      <c r="N54">
        <v>74</v>
      </c>
      <c r="O54">
        <v>1376</v>
      </c>
      <c r="P54">
        <v>1450</v>
      </c>
      <c r="Q54" t="str">
        <f>IF(BikeData[[#This Row],[casual]]+BikeData[[#This Row],[registered]]=BikeData[[#This Row],[cnt]],"OK","Check")</f>
        <v>OK</v>
      </c>
      <c r="R54">
        <f>IF(BikeData[[#This Row],[yr]]=0,2011,2012)</f>
        <v>2011</v>
      </c>
      <c r="S54" t="str">
        <f>CHOOSE(BikeData[[#This Row],[season]],"Winter","Spring","Summer","Fall")</f>
        <v>Winter</v>
      </c>
      <c r="T54" t="str">
        <f>TEXT(DATE(2000,BikeData[[#This Row],[mnth]],1),"mmmm")</f>
        <v>February</v>
      </c>
      <c r="U54" t="str">
        <f>IF(BikeData[[#This Row],[workingday]]=1,"Working Day","Non-working Day")</f>
        <v>Working Day</v>
      </c>
      <c r="V54" t="str">
        <f>CHOOSE(BikeData[[#This Row],[weekday]]+1,"Sunday","Monday","Tuesday","Wednesday","Thursday","Friday","Saturday")</f>
        <v>Tuesday</v>
      </c>
      <c r="W54" t="str">
        <f>CHOOSE(BikeData[[#This Row],[weathersit]],"Clear / Few Clouds","Mist / Cloudy","Light Rain / Snow","Heavy Rain / Snow")</f>
        <v>Clear / Few Clouds</v>
      </c>
    </row>
    <row r="55" spans="1:23" x14ac:dyDescent="0.3">
      <c r="A55">
        <v>54</v>
      </c>
      <c r="B55" s="1">
        <v>40597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>
        <v>0.22173899999999999</v>
      </c>
      <c r="K55">
        <v>0.24571699999999999</v>
      </c>
      <c r="L55">
        <v>0.423043</v>
      </c>
      <c r="M55">
        <v>9.4113000000000002E-2</v>
      </c>
      <c r="N55">
        <v>139</v>
      </c>
      <c r="O55">
        <v>1778</v>
      </c>
      <c r="P55">
        <v>1917</v>
      </c>
      <c r="Q55" t="str">
        <f>IF(BikeData[[#This Row],[casual]]+BikeData[[#This Row],[registered]]=BikeData[[#This Row],[cnt]],"OK","Check")</f>
        <v>OK</v>
      </c>
      <c r="R55">
        <f>IF(BikeData[[#This Row],[yr]]=0,2011,2012)</f>
        <v>2011</v>
      </c>
      <c r="S55" t="str">
        <f>CHOOSE(BikeData[[#This Row],[season]],"Winter","Spring","Summer","Fall")</f>
        <v>Winter</v>
      </c>
      <c r="T55" t="str">
        <f>TEXT(DATE(2000,BikeData[[#This Row],[mnth]],1),"mmmm")</f>
        <v>February</v>
      </c>
      <c r="U55" t="str">
        <f>IF(BikeData[[#This Row],[workingday]]=1,"Working Day","Non-working Day")</f>
        <v>Working Day</v>
      </c>
      <c r="V55" t="str">
        <f>CHOOSE(BikeData[[#This Row],[weekday]]+1,"Sunday","Monday","Tuesday","Wednesday","Thursday","Friday","Saturday")</f>
        <v>Wednesday</v>
      </c>
      <c r="W55" t="str">
        <f>CHOOSE(BikeData[[#This Row],[weathersit]],"Clear / Few Clouds","Mist / Cloudy","Light Rain / Snow","Heavy Rain / Snow")</f>
        <v>Clear / Few Clouds</v>
      </c>
    </row>
    <row r="56" spans="1:23" x14ac:dyDescent="0.3">
      <c r="A56">
        <v>55</v>
      </c>
      <c r="B56" s="1">
        <v>40598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>
        <v>0.29565200000000003</v>
      </c>
      <c r="K56">
        <v>0.28919099999999998</v>
      </c>
      <c r="L56">
        <v>0.69739099999999998</v>
      </c>
      <c r="M56">
        <v>0.250496</v>
      </c>
      <c r="N56">
        <v>100</v>
      </c>
      <c r="O56">
        <v>1707</v>
      </c>
      <c r="P56">
        <v>1807</v>
      </c>
      <c r="Q56" t="str">
        <f>IF(BikeData[[#This Row],[casual]]+BikeData[[#This Row],[registered]]=BikeData[[#This Row],[cnt]],"OK","Check")</f>
        <v>OK</v>
      </c>
      <c r="R56">
        <f>IF(BikeData[[#This Row],[yr]]=0,2011,2012)</f>
        <v>2011</v>
      </c>
      <c r="S56" t="str">
        <f>CHOOSE(BikeData[[#This Row],[season]],"Winter","Spring","Summer","Fall")</f>
        <v>Winter</v>
      </c>
      <c r="T56" t="str">
        <f>TEXT(DATE(2000,BikeData[[#This Row],[mnth]],1),"mmmm")</f>
        <v>February</v>
      </c>
      <c r="U56" t="str">
        <f>IF(BikeData[[#This Row],[workingday]]=1,"Working Day","Non-working Day")</f>
        <v>Working Day</v>
      </c>
      <c r="V56" t="str">
        <f>CHOOSE(BikeData[[#This Row],[weekday]]+1,"Sunday","Monday","Tuesday","Wednesday","Thursday","Friday","Saturday")</f>
        <v>Thursday</v>
      </c>
      <c r="W56" t="str">
        <f>CHOOSE(BikeData[[#This Row],[weathersit]],"Clear / Few Clouds","Mist / Cloudy","Light Rain / Snow","Heavy Rain / Snow")</f>
        <v>Mist / Cloudy</v>
      </c>
    </row>
    <row r="57" spans="1:23" x14ac:dyDescent="0.3">
      <c r="A57">
        <v>56</v>
      </c>
      <c r="B57" s="1">
        <v>40599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>
        <v>0.36434800000000001</v>
      </c>
      <c r="K57">
        <v>0.35046100000000002</v>
      </c>
      <c r="L57">
        <v>0.71217399999999997</v>
      </c>
      <c r="M57">
        <v>0.34653899999999999</v>
      </c>
      <c r="N57">
        <v>120</v>
      </c>
      <c r="O57">
        <v>1341</v>
      </c>
      <c r="P57">
        <v>1461</v>
      </c>
      <c r="Q57" t="str">
        <f>IF(BikeData[[#This Row],[casual]]+BikeData[[#This Row],[registered]]=BikeData[[#This Row],[cnt]],"OK","Check")</f>
        <v>OK</v>
      </c>
      <c r="R57">
        <f>IF(BikeData[[#This Row],[yr]]=0,2011,2012)</f>
        <v>2011</v>
      </c>
      <c r="S57" t="str">
        <f>CHOOSE(BikeData[[#This Row],[season]],"Winter","Spring","Summer","Fall")</f>
        <v>Winter</v>
      </c>
      <c r="T57" t="str">
        <f>TEXT(DATE(2000,BikeData[[#This Row],[mnth]],1),"mmmm")</f>
        <v>February</v>
      </c>
      <c r="U57" t="str">
        <f>IF(BikeData[[#This Row],[workingday]]=1,"Working Day","Non-working Day")</f>
        <v>Working Day</v>
      </c>
      <c r="V57" t="str">
        <f>CHOOSE(BikeData[[#This Row],[weekday]]+1,"Sunday","Monday","Tuesday","Wednesday","Thursday","Friday","Saturday")</f>
        <v>Friday</v>
      </c>
      <c r="W57" t="str">
        <f>CHOOSE(BikeData[[#This Row],[weathersit]],"Clear / Few Clouds","Mist / Cloudy","Light Rain / Snow","Heavy Rain / Snow")</f>
        <v>Mist / Cloudy</v>
      </c>
    </row>
    <row r="58" spans="1:23" x14ac:dyDescent="0.3">
      <c r="A58">
        <v>57</v>
      </c>
      <c r="B58" s="1">
        <v>40600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>
        <v>0.28249999999999997</v>
      </c>
      <c r="K58">
        <v>0.282192</v>
      </c>
      <c r="L58">
        <v>0.53791699999999998</v>
      </c>
      <c r="M58">
        <v>0.18657099999999999</v>
      </c>
      <c r="N58">
        <v>424</v>
      </c>
      <c r="O58">
        <v>1545</v>
      </c>
      <c r="P58">
        <v>1969</v>
      </c>
      <c r="Q58" t="str">
        <f>IF(BikeData[[#This Row],[casual]]+BikeData[[#This Row],[registered]]=BikeData[[#This Row],[cnt]],"OK","Check")</f>
        <v>OK</v>
      </c>
      <c r="R58">
        <f>IF(BikeData[[#This Row],[yr]]=0,2011,2012)</f>
        <v>2011</v>
      </c>
      <c r="S58" t="str">
        <f>CHOOSE(BikeData[[#This Row],[season]],"Winter","Spring","Summer","Fall")</f>
        <v>Winter</v>
      </c>
      <c r="T58" t="str">
        <f>TEXT(DATE(2000,BikeData[[#This Row],[mnth]],1),"mmmm")</f>
        <v>February</v>
      </c>
      <c r="U58" t="str">
        <f>IF(BikeData[[#This Row],[workingday]]=1,"Working Day","Non-working Day")</f>
        <v>Non-working Day</v>
      </c>
      <c r="V58" t="str">
        <f>CHOOSE(BikeData[[#This Row],[weekday]]+1,"Sunday","Monday","Tuesday","Wednesday","Thursday","Friday","Saturday")</f>
        <v>Saturday</v>
      </c>
      <c r="W58" t="str">
        <f>CHOOSE(BikeData[[#This Row],[weathersit]],"Clear / Few Clouds","Mist / Cloudy","Light Rain / Snow","Heavy Rain / Snow")</f>
        <v>Clear / Few Clouds</v>
      </c>
    </row>
    <row r="59" spans="1:23" x14ac:dyDescent="0.3">
      <c r="A59">
        <v>58</v>
      </c>
      <c r="B59" s="1">
        <v>40601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>
        <v>0.34347800000000001</v>
      </c>
      <c r="K59">
        <v>0.351109</v>
      </c>
      <c r="L59">
        <v>0.68</v>
      </c>
      <c r="M59">
        <v>0.125248</v>
      </c>
      <c r="N59">
        <v>694</v>
      </c>
      <c r="O59">
        <v>1708</v>
      </c>
      <c r="P59">
        <v>2402</v>
      </c>
      <c r="Q59" t="str">
        <f>IF(BikeData[[#This Row],[casual]]+BikeData[[#This Row],[registered]]=BikeData[[#This Row],[cnt]],"OK","Check")</f>
        <v>OK</v>
      </c>
      <c r="R59">
        <f>IF(BikeData[[#This Row],[yr]]=0,2011,2012)</f>
        <v>2011</v>
      </c>
      <c r="S59" t="str">
        <f>CHOOSE(BikeData[[#This Row],[season]],"Winter","Spring","Summer","Fall")</f>
        <v>Winter</v>
      </c>
      <c r="T59" t="str">
        <f>TEXT(DATE(2000,BikeData[[#This Row],[mnth]],1),"mmmm")</f>
        <v>February</v>
      </c>
      <c r="U59" t="str">
        <f>IF(BikeData[[#This Row],[workingday]]=1,"Working Day","Non-working Day")</f>
        <v>Non-working Day</v>
      </c>
      <c r="V59" t="str">
        <f>CHOOSE(BikeData[[#This Row],[weekday]]+1,"Sunday","Monday","Tuesday","Wednesday","Thursday","Friday","Saturday")</f>
        <v>Sunday</v>
      </c>
      <c r="W59" t="str">
        <f>CHOOSE(BikeData[[#This Row],[weathersit]],"Clear / Few Clouds","Mist / Cloudy","Light Rain / Snow","Heavy Rain / Snow")</f>
        <v>Clear / Few Clouds</v>
      </c>
    </row>
    <row r="60" spans="1:23" x14ac:dyDescent="0.3">
      <c r="A60">
        <v>59</v>
      </c>
      <c r="B60" s="1">
        <v>40602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>
        <v>0.407273</v>
      </c>
      <c r="K60">
        <v>0.40011799999999997</v>
      </c>
      <c r="L60">
        <v>0.87636400000000003</v>
      </c>
      <c r="M60">
        <v>0.289686</v>
      </c>
      <c r="N60">
        <v>81</v>
      </c>
      <c r="O60">
        <v>1365</v>
      </c>
      <c r="P60">
        <v>1446</v>
      </c>
      <c r="Q60" t="str">
        <f>IF(BikeData[[#This Row],[casual]]+BikeData[[#This Row],[registered]]=BikeData[[#This Row],[cnt]],"OK","Check")</f>
        <v>OK</v>
      </c>
      <c r="R60">
        <f>IF(BikeData[[#This Row],[yr]]=0,2011,2012)</f>
        <v>2011</v>
      </c>
      <c r="S60" t="str">
        <f>CHOOSE(BikeData[[#This Row],[season]],"Winter","Spring","Summer","Fall")</f>
        <v>Winter</v>
      </c>
      <c r="T60" t="str">
        <f>TEXT(DATE(2000,BikeData[[#This Row],[mnth]],1),"mmmm")</f>
        <v>February</v>
      </c>
      <c r="U60" t="str">
        <f>IF(BikeData[[#This Row],[workingday]]=1,"Working Day","Non-working Day")</f>
        <v>Working Day</v>
      </c>
      <c r="V60" t="str">
        <f>CHOOSE(BikeData[[#This Row],[weekday]]+1,"Sunday","Monday","Tuesday","Wednesday","Thursday","Friday","Saturday")</f>
        <v>Monday</v>
      </c>
      <c r="W60" t="str">
        <f>CHOOSE(BikeData[[#This Row],[weathersit]],"Clear / Few Clouds","Mist / Cloudy","Light Rain / Snow","Heavy Rain / Snow")</f>
        <v>Mist / Cloudy</v>
      </c>
    </row>
    <row r="61" spans="1:23" x14ac:dyDescent="0.3">
      <c r="A61">
        <v>60</v>
      </c>
      <c r="B61" s="1">
        <v>40603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>
        <v>0.26666699999999999</v>
      </c>
      <c r="K61">
        <v>0.26387899999999997</v>
      </c>
      <c r="L61">
        <v>0.53500000000000003</v>
      </c>
      <c r="M61">
        <v>0.21642500000000001</v>
      </c>
      <c r="N61">
        <v>137</v>
      </c>
      <c r="O61">
        <v>1714</v>
      </c>
      <c r="P61">
        <v>1851</v>
      </c>
      <c r="Q61" t="str">
        <f>IF(BikeData[[#This Row],[casual]]+BikeData[[#This Row],[registered]]=BikeData[[#This Row],[cnt]],"OK","Check")</f>
        <v>OK</v>
      </c>
      <c r="R61">
        <f>IF(BikeData[[#This Row],[yr]]=0,2011,2012)</f>
        <v>2011</v>
      </c>
      <c r="S61" t="str">
        <f>CHOOSE(BikeData[[#This Row],[season]],"Winter","Spring","Summer","Fall")</f>
        <v>Winter</v>
      </c>
      <c r="T61" t="str">
        <f>TEXT(DATE(2000,BikeData[[#This Row],[mnth]],1),"mmmm")</f>
        <v>March</v>
      </c>
      <c r="U61" t="str">
        <f>IF(BikeData[[#This Row],[workingday]]=1,"Working Day","Non-working Day")</f>
        <v>Working Day</v>
      </c>
      <c r="V61" t="str">
        <f>CHOOSE(BikeData[[#This Row],[weekday]]+1,"Sunday","Monday","Tuesday","Wednesday","Thursday","Friday","Saturday")</f>
        <v>Tuesday</v>
      </c>
      <c r="W61" t="str">
        <f>CHOOSE(BikeData[[#This Row],[weathersit]],"Clear / Few Clouds","Mist / Cloudy","Light Rain / Snow","Heavy Rain / Snow")</f>
        <v>Clear / Few Clouds</v>
      </c>
    </row>
    <row r="62" spans="1:23" x14ac:dyDescent="0.3">
      <c r="A62">
        <v>61</v>
      </c>
      <c r="B62" s="1">
        <v>40604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>
        <v>0.33500000000000002</v>
      </c>
      <c r="K62">
        <v>0.32007099999999999</v>
      </c>
      <c r="L62">
        <v>0.44958300000000001</v>
      </c>
      <c r="M62">
        <v>0.30783300000000002</v>
      </c>
      <c r="N62">
        <v>231</v>
      </c>
      <c r="O62">
        <v>1903</v>
      </c>
      <c r="P62">
        <v>2134</v>
      </c>
      <c r="Q62" t="str">
        <f>IF(BikeData[[#This Row],[casual]]+BikeData[[#This Row],[registered]]=BikeData[[#This Row],[cnt]],"OK","Check")</f>
        <v>OK</v>
      </c>
      <c r="R62">
        <f>IF(BikeData[[#This Row],[yr]]=0,2011,2012)</f>
        <v>2011</v>
      </c>
      <c r="S62" t="str">
        <f>CHOOSE(BikeData[[#This Row],[season]],"Winter","Spring","Summer","Fall")</f>
        <v>Winter</v>
      </c>
      <c r="T62" t="str">
        <f>TEXT(DATE(2000,BikeData[[#This Row],[mnth]],1),"mmmm")</f>
        <v>March</v>
      </c>
      <c r="U62" t="str">
        <f>IF(BikeData[[#This Row],[workingday]]=1,"Working Day","Non-working Day")</f>
        <v>Working Day</v>
      </c>
      <c r="V62" t="str">
        <f>CHOOSE(BikeData[[#This Row],[weekday]]+1,"Sunday","Monday","Tuesday","Wednesday","Thursday","Friday","Saturday")</f>
        <v>Wednesday</v>
      </c>
      <c r="W62" t="str">
        <f>CHOOSE(BikeData[[#This Row],[weathersit]],"Clear / Few Clouds","Mist / Cloudy","Light Rain / Snow","Heavy Rain / Snow")</f>
        <v>Clear / Few Clouds</v>
      </c>
    </row>
    <row r="63" spans="1:23" x14ac:dyDescent="0.3">
      <c r="A63">
        <v>62</v>
      </c>
      <c r="B63" s="1">
        <v>40605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>
        <v>0.19833300000000001</v>
      </c>
      <c r="K63">
        <v>0.20013300000000001</v>
      </c>
      <c r="L63">
        <v>0.31833299999999998</v>
      </c>
      <c r="M63">
        <v>0.22575400000000001</v>
      </c>
      <c r="N63">
        <v>123</v>
      </c>
      <c r="O63">
        <v>1562</v>
      </c>
      <c r="P63">
        <v>1685</v>
      </c>
      <c r="Q63" t="str">
        <f>IF(BikeData[[#This Row],[casual]]+BikeData[[#This Row],[registered]]=BikeData[[#This Row],[cnt]],"OK","Check")</f>
        <v>OK</v>
      </c>
      <c r="R63">
        <f>IF(BikeData[[#This Row],[yr]]=0,2011,2012)</f>
        <v>2011</v>
      </c>
      <c r="S63" t="str">
        <f>CHOOSE(BikeData[[#This Row],[season]],"Winter","Spring","Summer","Fall")</f>
        <v>Winter</v>
      </c>
      <c r="T63" t="str">
        <f>TEXT(DATE(2000,BikeData[[#This Row],[mnth]],1),"mmmm")</f>
        <v>March</v>
      </c>
      <c r="U63" t="str">
        <f>IF(BikeData[[#This Row],[workingday]]=1,"Working Day","Non-working Day")</f>
        <v>Working Day</v>
      </c>
      <c r="V63" t="str">
        <f>CHOOSE(BikeData[[#This Row],[weekday]]+1,"Sunday","Monday","Tuesday","Wednesday","Thursday","Friday","Saturday")</f>
        <v>Thursday</v>
      </c>
      <c r="W63" t="str">
        <f>CHOOSE(BikeData[[#This Row],[weathersit]],"Clear / Few Clouds","Mist / Cloudy","Light Rain / Snow","Heavy Rain / Snow")</f>
        <v>Clear / Few Clouds</v>
      </c>
    </row>
    <row r="64" spans="1:23" x14ac:dyDescent="0.3">
      <c r="A64">
        <v>63</v>
      </c>
      <c r="B64" s="1">
        <v>40606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>
        <v>0.26166699999999998</v>
      </c>
      <c r="K64">
        <v>0.25567899999999999</v>
      </c>
      <c r="L64">
        <v>0.61041699999999999</v>
      </c>
      <c r="M64">
        <v>0.203346</v>
      </c>
      <c r="N64">
        <v>214</v>
      </c>
      <c r="O64">
        <v>1730</v>
      </c>
      <c r="P64">
        <v>1944</v>
      </c>
      <c r="Q64" t="str">
        <f>IF(BikeData[[#This Row],[casual]]+BikeData[[#This Row],[registered]]=BikeData[[#This Row],[cnt]],"OK","Check")</f>
        <v>OK</v>
      </c>
      <c r="R64">
        <f>IF(BikeData[[#This Row],[yr]]=0,2011,2012)</f>
        <v>2011</v>
      </c>
      <c r="S64" t="str">
        <f>CHOOSE(BikeData[[#This Row],[season]],"Winter","Spring","Summer","Fall")</f>
        <v>Winter</v>
      </c>
      <c r="T64" t="str">
        <f>TEXT(DATE(2000,BikeData[[#This Row],[mnth]],1),"mmmm")</f>
        <v>March</v>
      </c>
      <c r="U64" t="str">
        <f>IF(BikeData[[#This Row],[workingday]]=1,"Working Day","Non-working Day")</f>
        <v>Working Day</v>
      </c>
      <c r="V64" t="str">
        <f>CHOOSE(BikeData[[#This Row],[weekday]]+1,"Sunday","Monday","Tuesday","Wednesday","Thursday","Friday","Saturday")</f>
        <v>Friday</v>
      </c>
      <c r="W64" t="str">
        <f>CHOOSE(BikeData[[#This Row],[weathersit]],"Clear / Few Clouds","Mist / Cloudy","Light Rain / Snow","Heavy Rain / Snow")</f>
        <v>Mist / Cloudy</v>
      </c>
    </row>
    <row r="65" spans="1:23" x14ac:dyDescent="0.3">
      <c r="A65">
        <v>64</v>
      </c>
      <c r="B65" s="1">
        <v>40607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>
        <v>0.38416699999999998</v>
      </c>
      <c r="K65">
        <v>0.37877899999999998</v>
      </c>
      <c r="L65">
        <v>0.78916699999999995</v>
      </c>
      <c r="M65">
        <v>0.25187100000000001</v>
      </c>
      <c r="N65">
        <v>640</v>
      </c>
      <c r="O65">
        <v>1437</v>
      </c>
      <c r="P65">
        <v>2077</v>
      </c>
      <c r="Q65" t="str">
        <f>IF(BikeData[[#This Row],[casual]]+BikeData[[#This Row],[registered]]=BikeData[[#This Row],[cnt]],"OK","Check")</f>
        <v>OK</v>
      </c>
      <c r="R65">
        <f>IF(BikeData[[#This Row],[yr]]=0,2011,2012)</f>
        <v>2011</v>
      </c>
      <c r="S65" t="str">
        <f>CHOOSE(BikeData[[#This Row],[season]],"Winter","Spring","Summer","Fall")</f>
        <v>Winter</v>
      </c>
      <c r="T65" t="str">
        <f>TEXT(DATE(2000,BikeData[[#This Row],[mnth]],1),"mmmm")</f>
        <v>March</v>
      </c>
      <c r="U65" t="str">
        <f>IF(BikeData[[#This Row],[workingday]]=1,"Working Day","Non-working Day")</f>
        <v>Non-working Day</v>
      </c>
      <c r="V65" t="str">
        <f>CHOOSE(BikeData[[#This Row],[weekday]]+1,"Sunday","Monday","Tuesday","Wednesday","Thursday","Friday","Saturday")</f>
        <v>Saturday</v>
      </c>
      <c r="W65" t="str">
        <f>CHOOSE(BikeData[[#This Row],[weathersit]],"Clear / Few Clouds","Mist / Cloudy","Light Rain / Snow","Heavy Rain / Snow")</f>
        <v>Mist / Cloudy</v>
      </c>
    </row>
    <row r="66" spans="1:23" x14ac:dyDescent="0.3">
      <c r="A66">
        <v>65</v>
      </c>
      <c r="B66" s="1">
        <v>40608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>
        <v>0.37652200000000002</v>
      </c>
      <c r="K66">
        <v>0.36625200000000002</v>
      </c>
      <c r="L66">
        <v>0.94826100000000002</v>
      </c>
      <c r="M66">
        <v>0.34328700000000001</v>
      </c>
      <c r="N66">
        <v>114</v>
      </c>
      <c r="O66">
        <v>491</v>
      </c>
      <c r="P66">
        <v>605</v>
      </c>
      <c r="Q66" t="str">
        <f>IF(BikeData[[#This Row],[casual]]+BikeData[[#This Row],[registered]]=BikeData[[#This Row],[cnt]],"OK","Check")</f>
        <v>OK</v>
      </c>
      <c r="R66">
        <f>IF(BikeData[[#This Row],[yr]]=0,2011,2012)</f>
        <v>2011</v>
      </c>
      <c r="S66" t="str">
        <f>CHOOSE(BikeData[[#This Row],[season]],"Winter","Spring","Summer","Fall")</f>
        <v>Winter</v>
      </c>
      <c r="T66" t="str">
        <f>TEXT(DATE(2000,BikeData[[#This Row],[mnth]],1),"mmmm")</f>
        <v>March</v>
      </c>
      <c r="U66" t="str">
        <f>IF(BikeData[[#This Row],[workingday]]=1,"Working Day","Non-working Day")</f>
        <v>Non-working Day</v>
      </c>
      <c r="V66" t="str">
        <f>CHOOSE(BikeData[[#This Row],[weekday]]+1,"Sunday","Monday","Tuesday","Wednesday","Thursday","Friday","Saturday")</f>
        <v>Sunday</v>
      </c>
      <c r="W66" t="str">
        <f>CHOOSE(BikeData[[#This Row],[weathersit]],"Clear / Few Clouds","Mist / Cloudy","Light Rain / Snow","Heavy Rain / Snow")</f>
        <v>Mist / Cloudy</v>
      </c>
    </row>
    <row r="67" spans="1:23" x14ac:dyDescent="0.3">
      <c r="A67">
        <v>66</v>
      </c>
      <c r="B67" s="1">
        <v>40609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>
        <v>0.261739</v>
      </c>
      <c r="K67">
        <v>0.23846100000000001</v>
      </c>
      <c r="L67">
        <v>0.55130400000000002</v>
      </c>
      <c r="M67">
        <v>0.34135199999999999</v>
      </c>
      <c r="N67">
        <v>244</v>
      </c>
      <c r="O67">
        <v>1628</v>
      </c>
      <c r="P67">
        <v>1872</v>
      </c>
      <c r="Q67" t="str">
        <f>IF(BikeData[[#This Row],[casual]]+BikeData[[#This Row],[registered]]=BikeData[[#This Row],[cnt]],"OK","Check")</f>
        <v>OK</v>
      </c>
      <c r="R67">
        <f>IF(BikeData[[#This Row],[yr]]=0,2011,2012)</f>
        <v>2011</v>
      </c>
      <c r="S67" t="str">
        <f>CHOOSE(BikeData[[#This Row],[season]],"Winter","Spring","Summer","Fall")</f>
        <v>Winter</v>
      </c>
      <c r="T67" t="str">
        <f>TEXT(DATE(2000,BikeData[[#This Row],[mnth]],1),"mmmm")</f>
        <v>March</v>
      </c>
      <c r="U67" t="str">
        <f>IF(BikeData[[#This Row],[workingday]]=1,"Working Day","Non-working Day")</f>
        <v>Working Day</v>
      </c>
      <c r="V67" t="str">
        <f>CHOOSE(BikeData[[#This Row],[weekday]]+1,"Sunday","Monday","Tuesday","Wednesday","Thursday","Friday","Saturday")</f>
        <v>Monday</v>
      </c>
      <c r="W67" t="str">
        <f>CHOOSE(BikeData[[#This Row],[weathersit]],"Clear / Few Clouds","Mist / Cloudy","Light Rain / Snow","Heavy Rain / Snow")</f>
        <v>Clear / Few Clouds</v>
      </c>
    </row>
    <row r="68" spans="1:23" x14ac:dyDescent="0.3">
      <c r="A68">
        <v>67</v>
      </c>
      <c r="B68" s="1">
        <v>40610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>
        <v>0.29249999999999998</v>
      </c>
      <c r="K68">
        <v>0.3024</v>
      </c>
      <c r="L68">
        <v>0.42083300000000001</v>
      </c>
      <c r="M68">
        <v>0.12064999999999999</v>
      </c>
      <c r="N68">
        <v>316</v>
      </c>
      <c r="O68">
        <v>1817</v>
      </c>
      <c r="P68">
        <v>2133</v>
      </c>
      <c r="Q68" t="str">
        <f>IF(BikeData[[#This Row],[casual]]+BikeData[[#This Row],[registered]]=BikeData[[#This Row],[cnt]],"OK","Check")</f>
        <v>OK</v>
      </c>
      <c r="R68">
        <f>IF(BikeData[[#This Row],[yr]]=0,2011,2012)</f>
        <v>2011</v>
      </c>
      <c r="S68" t="str">
        <f>CHOOSE(BikeData[[#This Row],[season]],"Winter","Spring","Summer","Fall")</f>
        <v>Winter</v>
      </c>
      <c r="T68" t="str">
        <f>TEXT(DATE(2000,BikeData[[#This Row],[mnth]],1),"mmmm")</f>
        <v>March</v>
      </c>
      <c r="U68" t="str">
        <f>IF(BikeData[[#This Row],[workingday]]=1,"Working Day","Non-working Day")</f>
        <v>Working Day</v>
      </c>
      <c r="V68" t="str">
        <f>CHOOSE(BikeData[[#This Row],[weekday]]+1,"Sunday","Monday","Tuesday","Wednesday","Thursday","Friday","Saturday")</f>
        <v>Tuesday</v>
      </c>
      <c r="W68" t="str">
        <f>CHOOSE(BikeData[[#This Row],[weathersit]],"Clear / Few Clouds","Mist / Cloudy","Light Rain / Snow","Heavy Rain / Snow")</f>
        <v>Clear / Few Clouds</v>
      </c>
    </row>
    <row r="69" spans="1:23" x14ac:dyDescent="0.3">
      <c r="A69">
        <v>68</v>
      </c>
      <c r="B69" s="1">
        <v>40611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>
        <v>0.29583300000000001</v>
      </c>
      <c r="K69">
        <v>0.28660799999999997</v>
      </c>
      <c r="L69">
        <v>0.77541700000000002</v>
      </c>
      <c r="M69">
        <v>0.22015000000000001</v>
      </c>
      <c r="N69">
        <v>191</v>
      </c>
      <c r="O69">
        <v>1700</v>
      </c>
      <c r="P69">
        <v>1891</v>
      </c>
      <c r="Q69" t="str">
        <f>IF(BikeData[[#This Row],[casual]]+BikeData[[#This Row],[registered]]=BikeData[[#This Row],[cnt]],"OK","Check")</f>
        <v>OK</v>
      </c>
      <c r="R69">
        <f>IF(BikeData[[#This Row],[yr]]=0,2011,2012)</f>
        <v>2011</v>
      </c>
      <c r="S69" t="str">
        <f>CHOOSE(BikeData[[#This Row],[season]],"Winter","Spring","Summer","Fall")</f>
        <v>Winter</v>
      </c>
      <c r="T69" t="str">
        <f>TEXT(DATE(2000,BikeData[[#This Row],[mnth]],1),"mmmm")</f>
        <v>March</v>
      </c>
      <c r="U69" t="str">
        <f>IF(BikeData[[#This Row],[workingday]]=1,"Working Day","Non-working Day")</f>
        <v>Working Day</v>
      </c>
      <c r="V69" t="str">
        <f>CHOOSE(BikeData[[#This Row],[weekday]]+1,"Sunday","Monday","Tuesday","Wednesday","Thursday","Friday","Saturday")</f>
        <v>Wednesday</v>
      </c>
      <c r="W69" t="str">
        <f>CHOOSE(BikeData[[#This Row],[weathersit]],"Clear / Few Clouds","Mist / Cloudy","Light Rain / Snow","Heavy Rain / Snow")</f>
        <v>Mist / Cloudy</v>
      </c>
    </row>
    <row r="70" spans="1:23" x14ac:dyDescent="0.3">
      <c r="A70">
        <v>69</v>
      </c>
      <c r="B70" s="1">
        <v>40612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>
        <v>0.38909100000000002</v>
      </c>
      <c r="K70">
        <v>0.38566800000000001</v>
      </c>
      <c r="L70">
        <v>0</v>
      </c>
      <c r="M70">
        <v>0.26187700000000003</v>
      </c>
      <c r="N70">
        <v>46</v>
      </c>
      <c r="O70">
        <v>577</v>
      </c>
      <c r="P70">
        <v>623</v>
      </c>
      <c r="Q70" t="str">
        <f>IF(BikeData[[#This Row],[casual]]+BikeData[[#This Row],[registered]]=BikeData[[#This Row],[cnt]],"OK","Check")</f>
        <v>OK</v>
      </c>
      <c r="R70">
        <f>IF(BikeData[[#This Row],[yr]]=0,2011,2012)</f>
        <v>2011</v>
      </c>
      <c r="S70" t="str">
        <f>CHOOSE(BikeData[[#This Row],[season]],"Winter","Spring","Summer","Fall")</f>
        <v>Winter</v>
      </c>
      <c r="T70" t="str">
        <f>TEXT(DATE(2000,BikeData[[#This Row],[mnth]],1),"mmmm")</f>
        <v>March</v>
      </c>
      <c r="U70" t="str">
        <f>IF(BikeData[[#This Row],[workingday]]=1,"Working Day","Non-working Day")</f>
        <v>Working Day</v>
      </c>
      <c r="V70" t="str">
        <f>CHOOSE(BikeData[[#This Row],[weekday]]+1,"Sunday","Monday","Tuesday","Wednesday","Thursday","Friday","Saturday")</f>
        <v>Thursday</v>
      </c>
      <c r="W70" t="str">
        <f>CHOOSE(BikeData[[#This Row],[weathersit]],"Clear / Few Clouds","Mist / Cloudy","Light Rain / Snow","Heavy Rain / Snow")</f>
        <v>Light Rain / Snow</v>
      </c>
    </row>
    <row r="71" spans="1:23" x14ac:dyDescent="0.3">
      <c r="A71">
        <v>70</v>
      </c>
      <c r="B71" s="1">
        <v>40613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>
        <v>0.31652200000000003</v>
      </c>
      <c r="K71">
        <v>0.30499999999999999</v>
      </c>
      <c r="L71">
        <v>0.64956499999999995</v>
      </c>
      <c r="M71">
        <v>0.23297000000000001</v>
      </c>
      <c r="N71">
        <v>247</v>
      </c>
      <c r="O71">
        <v>1730</v>
      </c>
      <c r="P71">
        <v>1977</v>
      </c>
      <c r="Q71" t="str">
        <f>IF(BikeData[[#This Row],[casual]]+BikeData[[#This Row],[registered]]=BikeData[[#This Row],[cnt]],"OK","Check")</f>
        <v>OK</v>
      </c>
      <c r="R71">
        <f>IF(BikeData[[#This Row],[yr]]=0,2011,2012)</f>
        <v>2011</v>
      </c>
      <c r="S71" t="str">
        <f>CHOOSE(BikeData[[#This Row],[season]],"Winter","Spring","Summer","Fall")</f>
        <v>Winter</v>
      </c>
      <c r="T71" t="str">
        <f>TEXT(DATE(2000,BikeData[[#This Row],[mnth]],1),"mmmm")</f>
        <v>March</v>
      </c>
      <c r="U71" t="str">
        <f>IF(BikeData[[#This Row],[workingday]]=1,"Working Day","Non-working Day")</f>
        <v>Working Day</v>
      </c>
      <c r="V71" t="str">
        <f>CHOOSE(BikeData[[#This Row],[weekday]]+1,"Sunday","Monday","Tuesday","Wednesday","Thursday","Friday","Saturday")</f>
        <v>Friday</v>
      </c>
      <c r="W71" t="str">
        <f>CHOOSE(BikeData[[#This Row],[weathersit]],"Clear / Few Clouds","Mist / Cloudy","Light Rain / Snow","Heavy Rain / Snow")</f>
        <v>Mist / Cloudy</v>
      </c>
    </row>
    <row r="72" spans="1:23" x14ac:dyDescent="0.3">
      <c r="A72">
        <v>71</v>
      </c>
      <c r="B72" s="1">
        <v>40614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>
        <v>0.32916699999999999</v>
      </c>
      <c r="K72">
        <v>0.32574999999999998</v>
      </c>
      <c r="L72">
        <v>0.59458299999999997</v>
      </c>
      <c r="M72">
        <v>0.220775</v>
      </c>
      <c r="N72">
        <v>724</v>
      </c>
      <c r="O72">
        <v>1408</v>
      </c>
      <c r="P72">
        <v>2132</v>
      </c>
      <c r="Q72" t="str">
        <f>IF(BikeData[[#This Row],[casual]]+BikeData[[#This Row],[registered]]=BikeData[[#This Row],[cnt]],"OK","Check")</f>
        <v>OK</v>
      </c>
      <c r="R72">
        <f>IF(BikeData[[#This Row],[yr]]=0,2011,2012)</f>
        <v>2011</v>
      </c>
      <c r="S72" t="str">
        <f>CHOOSE(BikeData[[#This Row],[season]],"Winter","Spring","Summer","Fall")</f>
        <v>Winter</v>
      </c>
      <c r="T72" t="str">
        <f>TEXT(DATE(2000,BikeData[[#This Row],[mnth]],1),"mmmm")</f>
        <v>March</v>
      </c>
      <c r="U72" t="str">
        <f>IF(BikeData[[#This Row],[workingday]]=1,"Working Day","Non-working Day")</f>
        <v>Non-working Day</v>
      </c>
      <c r="V72" t="str">
        <f>CHOOSE(BikeData[[#This Row],[weekday]]+1,"Sunday","Monday","Tuesday","Wednesday","Thursday","Friday","Saturday")</f>
        <v>Saturday</v>
      </c>
      <c r="W72" t="str">
        <f>CHOOSE(BikeData[[#This Row],[weathersit]],"Clear / Few Clouds","Mist / Cloudy","Light Rain / Snow","Heavy Rain / Snow")</f>
        <v>Clear / Few Clouds</v>
      </c>
    </row>
    <row r="73" spans="1:23" x14ac:dyDescent="0.3">
      <c r="A73">
        <v>72</v>
      </c>
      <c r="B73" s="1">
        <v>40615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0.38434800000000002</v>
      </c>
      <c r="K73">
        <v>0.38009100000000001</v>
      </c>
      <c r="L73">
        <v>0.52739100000000005</v>
      </c>
      <c r="M73">
        <v>0.27060400000000001</v>
      </c>
      <c r="N73">
        <v>982</v>
      </c>
      <c r="O73">
        <v>1435</v>
      </c>
      <c r="P73">
        <v>2417</v>
      </c>
      <c r="Q73" t="str">
        <f>IF(BikeData[[#This Row],[casual]]+BikeData[[#This Row],[registered]]=BikeData[[#This Row],[cnt]],"OK","Check")</f>
        <v>OK</v>
      </c>
      <c r="R73">
        <f>IF(BikeData[[#This Row],[yr]]=0,2011,2012)</f>
        <v>2011</v>
      </c>
      <c r="S73" t="str">
        <f>CHOOSE(BikeData[[#This Row],[season]],"Winter","Spring","Summer","Fall")</f>
        <v>Winter</v>
      </c>
      <c r="T73" t="str">
        <f>TEXT(DATE(2000,BikeData[[#This Row],[mnth]],1),"mmmm")</f>
        <v>March</v>
      </c>
      <c r="U73" t="str">
        <f>IF(BikeData[[#This Row],[workingday]]=1,"Working Day","Non-working Day")</f>
        <v>Non-working Day</v>
      </c>
      <c r="V73" t="str">
        <f>CHOOSE(BikeData[[#This Row],[weekday]]+1,"Sunday","Monday","Tuesday","Wednesday","Thursday","Friday","Saturday")</f>
        <v>Sunday</v>
      </c>
      <c r="W73" t="str">
        <f>CHOOSE(BikeData[[#This Row],[weathersit]],"Clear / Few Clouds","Mist / Cloudy","Light Rain / Snow","Heavy Rain / Snow")</f>
        <v>Clear / Few Clouds</v>
      </c>
    </row>
    <row r="74" spans="1:23" x14ac:dyDescent="0.3">
      <c r="A74">
        <v>73</v>
      </c>
      <c r="B74" s="1">
        <v>40616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>
        <v>0.32521699999999998</v>
      </c>
      <c r="K74">
        <v>0.33200000000000002</v>
      </c>
      <c r="L74">
        <v>0.49695699999999998</v>
      </c>
      <c r="M74">
        <v>0.13692599999999999</v>
      </c>
      <c r="N74">
        <v>359</v>
      </c>
      <c r="O74">
        <v>1687</v>
      </c>
      <c r="P74">
        <v>2046</v>
      </c>
      <c r="Q74" t="str">
        <f>IF(BikeData[[#This Row],[casual]]+BikeData[[#This Row],[registered]]=BikeData[[#This Row],[cnt]],"OK","Check")</f>
        <v>OK</v>
      </c>
      <c r="R74">
        <f>IF(BikeData[[#This Row],[yr]]=0,2011,2012)</f>
        <v>2011</v>
      </c>
      <c r="S74" t="str">
        <f>CHOOSE(BikeData[[#This Row],[season]],"Winter","Spring","Summer","Fall")</f>
        <v>Winter</v>
      </c>
      <c r="T74" t="str">
        <f>TEXT(DATE(2000,BikeData[[#This Row],[mnth]],1),"mmmm")</f>
        <v>March</v>
      </c>
      <c r="U74" t="str">
        <f>IF(BikeData[[#This Row],[workingday]]=1,"Working Day","Non-working Day")</f>
        <v>Working Day</v>
      </c>
      <c r="V74" t="str">
        <f>CHOOSE(BikeData[[#This Row],[weekday]]+1,"Sunday","Monday","Tuesday","Wednesday","Thursday","Friday","Saturday")</f>
        <v>Monday</v>
      </c>
      <c r="W74" t="str">
        <f>CHOOSE(BikeData[[#This Row],[weathersit]],"Clear / Few Clouds","Mist / Cloudy","Light Rain / Snow","Heavy Rain / Snow")</f>
        <v>Clear / Few Clouds</v>
      </c>
    </row>
    <row r="75" spans="1:23" x14ac:dyDescent="0.3">
      <c r="A75">
        <v>74</v>
      </c>
      <c r="B75" s="1">
        <v>40617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>
        <v>0.31739099999999998</v>
      </c>
      <c r="K75">
        <v>0.31817800000000002</v>
      </c>
      <c r="L75">
        <v>0.65565200000000001</v>
      </c>
      <c r="M75">
        <v>0.184309</v>
      </c>
      <c r="N75">
        <v>289</v>
      </c>
      <c r="O75">
        <v>1767</v>
      </c>
      <c r="P75">
        <v>2056</v>
      </c>
      <c r="Q75" t="str">
        <f>IF(BikeData[[#This Row],[casual]]+BikeData[[#This Row],[registered]]=BikeData[[#This Row],[cnt]],"OK","Check")</f>
        <v>OK</v>
      </c>
      <c r="R75">
        <f>IF(BikeData[[#This Row],[yr]]=0,2011,2012)</f>
        <v>2011</v>
      </c>
      <c r="S75" t="str">
        <f>CHOOSE(BikeData[[#This Row],[season]],"Winter","Spring","Summer","Fall")</f>
        <v>Winter</v>
      </c>
      <c r="T75" t="str">
        <f>TEXT(DATE(2000,BikeData[[#This Row],[mnth]],1),"mmmm")</f>
        <v>March</v>
      </c>
      <c r="U75" t="str">
        <f>IF(BikeData[[#This Row],[workingday]]=1,"Working Day","Non-working Day")</f>
        <v>Working Day</v>
      </c>
      <c r="V75" t="str">
        <f>CHOOSE(BikeData[[#This Row],[weekday]]+1,"Sunday","Monday","Tuesday","Wednesday","Thursday","Friday","Saturday")</f>
        <v>Tuesday</v>
      </c>
      <c r="W75" t="str">
        <f>CHOOSE(BikeData[[#This Row],[weathersit]],"Clear / Few Clouds","Mist / Cloudy","Light Rain / Snow","Heavy Rain / Snow")</f>
        <v>Mist / Cloudy</v>
      </c>
    </row>
    <row r="76" spans="1:23" x14ac:dyDescent="0.3">
      <c r="A76">
        <v>75</v>
      </c>
      <c r="B76" s="1">
        <v>40618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0.36521700000000001</v>
      </c>
      <c r="K76">
        <v>0.36692999999999998</v>
      </c>
      <c r="L76">
        <v>0.77652200000000005</v>
      </c>
      <c r="M76">
        <v>0.20311699999999999</v>
      </c>
      <c r="N76">
        <v>321</v>
      </c>
      <c r="O76">
        <v>1871</v>
      </c>
      <c r="P76">
        <v>2192</v>
      </c>
      <c r="Q76" t="str">
        <f>IF(BikeData[[#This Row],[casual]]+BikeData[[#This Row],[registered]]=BikeData[[#This Row],[cnt]],"OK","Check")</f>
        <v>OK</v>
      </c>
      <c r="R76">
        <f>IF(BikeData[[#This Row],[yr]]=0,2011,2012)</f>
        <v>2011</v>
      </c>
      <c r="S76" t="str">
        <f>CHOOSE(BikeData[[#This Row],[season]],"Winter","Spring","Summer","Fall")</f>
        <v>Winter</v>
      </c>
      <c r="T76" t="str">
        <f>TEXT(DATE(2000,BikeData[[#This Row],[mnth]],1),"mmmm")</f>
        <v>March</v>
      </c>
      <c r="U76" t="str">
        <f>IF(BikeData[[#This Row],[workingday]]=1,"Working Day","Non-working Day")</f>
        <v>Working Day</v>
      </c>
      <c r="V76" t="str">
        <f>CHOOSE(BikeData[[#This Row],[weekday]]+1,"Sunday","Monday","Tuesday","Wednesday","Thursday","Friday","Saturday")</f>
        <v>Wednesday</v>
      </c>
      <c r="W76" t="str">
        <f>CHOOSE(BikeData[[#This Row],[weathersit]],"Clear / Few Clouds","Mist / Cloudy","Light Rain / Snow","Heavy Rain / Snow")</f>
        <v>Mist / Cloudy</v>
      </c>
    </row>
    <row r="77" spans="1:23" x14ac:dyDescent="0.3">
      <c r="A77">
        <v>76</v>
      </c>
      <c r="B77" s="1">
        <v>40619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>
        <v>0.41499999999999998</v>
      </c>
      <c r="K77">
        <v>0.410333</v>
      </c>
      <c r="L77">
        <v>0.60291700000000004</v>
      </c>
      <c r="M77">
        <v>0.20957899999999999</v>
      </c>
      <c r="N77">
        <v>424</v>
      </c>
      <c r="O77">
        <v>2320</v>
      </c>
      <c r="P77">
        <v>2744</v>
      </c>
      <c r="Q77" t="str">
        <f>IF(BikeData[[#This Row],[casual]]+BikeData[[#This Row],[registered]]=BikeData[[#This Row],[cnt]],"OK","Check")</f>
        <v>OK</v>
      </c>
      <c r="R77">
        <f>IF(BikeData[[#This Row],[yr]]=0,2011,2012)</f>
        <v>2011</v>
      </c>
      <c r="S77" t="str">
        <f>CHOOSE(BikeData[[#This Row],[season]],"Winter","Spring","Summer","Fall")</f>
        <v>Winter</v>
      </c>
      <c r="T77" t="str">
        <f>TEXT(DATE(2000,BikeData[[#This Row],[mnth]],1),"mmmm")</f>
        <v>March</v>
      </c>
      <c r="U77" t="str">
        <f>IF(BikeData[[#This Row],[workingday]]=1,"Working Day","Non-working Day")</f>
        <v>Working Day</v>
      </c>
      <c r="V77" t="str">
        <f>CHOOSE(BikeData[[#This Row],[weekday]]+1,"Sunday","Monday","Tuesday","Wednesday","Thursday","Friday","Saturday")</f>
        <v>Thursday</v>
      </c>
      <c r="W77" t="str">
        <f>CHOOSE(BikeData[[#This Row],[weathersit]],"Clear / Few Clouds","Mist / Cloudy","Light Rain / Snow","Heavy Rain / Snow")</f>
        <v>Clear / Few Clouds</v>
      </c>
    </row>
    <row r="78" spans="1:23" x14ac:dyDescent="0.3">
      <c r="A78">
        <v>77</v>
      </c>
      <c r="B78" s="1">
        <v>40620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>
        <v>0.54</v>
      </c>
      <c r="K78">
        <v>0.52700899999999995</v>
      </c>
      <c r="L78">
        <v>0.52521700000000004</v>
      </c>
      <c r="M78">
        <v>0.231017</v>
      </c>
      <c r="N78">
        <v>884</v>
      </c>
      <c r="O78">
        <v>2355</v>
      </c>
      <c r="P78">
        <v>3239</v>
      </c>
      <c r="Q78" t="str">
        <f>IF(BikeData[[#This Row],[casual]]+BikeData[[#This Row],[registered]]=BikeData[[#This Row],[cnt]],"OK","Check")</f>
        <v>OK</v>
      </c>
      <c r="R78">
        <f>IF(BikeData[[#This Row],[yr]]=0,2011,2012)</f>
        <v>2011</v>
      </c>
      <c r="S78" t="str">
        <f>CHOOSE(BikeData[[#This Row],[season]],"Winter","Spring","Summer","Fall")</f>
        <v>Winter</v>
      </c>
      <c r="T78" t="str">
        <f>TEXT(DATE(2000,BikeData[[#This Row],[mnth]],1),"mmmm")</f>
        <v>March</v>
      </c>
      <c r="U78" t="str">
        <f>IF(BikeData[[#This Row],[workingday]]=1,"Working Day","Non-working Day")</f>
        <v>Working Day</v>
      </c>
      <c r="V78" t="str">
        <f>CHOOSE(BikeData[[#This Row],[weekday]]+1,"Sunday","Monday","Tuesday","Wednesday","Thursday","Friday","Saturday")</f>
        <v>Friday</v>
      </c>
      <c r="W78" t="str">
        <f>CHOOSE(BikeData[[#This Row],[weathersit]],"Clear / Few Clouds","Mist / Cloudy","Light Rain / Snow","Heavy Rain / Snow")</f>
        <v>Clear / Few Clouds</v>
      </c>
    </row>
    <row r="79" spans="1:23" x14ac:dyDescent="0.3">
      <c r="A79">
        <v>78</v>
      </c>
      <c r="B79" s="1">
        <v>40621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>
        <v>0.47249999999999998</v>
      </c>
      <c r="K79">
        <v>0.46652500000000002</v>
      </c>
      <c r="L79">
        <v>0.37916699999999998</v>
      </c>
      <c r="M79">
        <v>0.36816700000000002</v>
      </c>
      <c r="N79">
        <v>1424</v>
      </c>
      <c r="O79">
        <v>1693</v>
      </c>
      <c r="P79">
        <v>3117</v>
      </c>
      <c r="Q79" t="str">
        <f>IF(BikeData[[#This Row],[casual]]+BikeData[[#This Row],[registered]]=BikeData[[#This Row],[cnt]],"OK","Check")</f>
        <v>OK</v>
      </c>
      <c r="R79">
        <f>IF(BikeData[[#This Row],[yr]]=0,2011,2012)</f>
        <v>2011</v>
      </c>
      <c r="S79" t="str">
        <f>CHOOSE(BikeData[[#This Row],[season]],"Winter","Spring","Summer","Fall")</f>
        <v>Winter</v>
      </c>
      <c r="T79" t="str">
        <f>TEXT(DATE(2000,BikeData[[#This Row],[mnth]],1),"mmmm")</f>
        <v>March</v>
      </c>
      <c r="U79" t="str">
        <f>IF(BikeData[[#This Row],[workingday]]=1,"Working Day","Non-working Day")</f>
        <v>Non-working Day</v>
      </c>
      <c r="V79" t="str">
        <f>CHOOSE(BikeData[[#This Row],[weekday]]+1,"Sunday","Monday","Tuesday","Wednesday","Thursday","Friday","Saturday")</f>
        <v>Saturday</v>
      </c>
      <c r="W79" t="str">
        <f>CHOOSE(BikeData[[#This Row],[weathersit]],"Clear / Few Clouds","Mist / Cloudy","Light Rain / Snow","Heavy Rain / Snow")</f>
        <v>Clear / Few Clouds</v>
      </c>
    </row>
    <row r="80" spans="1:23" x14ac:dyDescent="0.3">
      <c r="A80">
        <v>79</v>
      </c>
      <c r="B80" s="1">
        <v>40622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>
        <v>0.33250000000000002</v>
      </c>
      <c r="K80">
        <v>0.32574999999999998</v>
      </c>
      <c r="L80">
        <v>0.47375</v>
      </c>
      <c r="M80">
        <v>0.20772099999999999</v>
      </c>
      <c r="N80">
        <v>1047</v>
      </c>
      <c r="O80">
        <v>1424</v>
      </c>
      <c r="P80">
        <v>2471</v>
      </c>
      <c r="Q80" t="str">
        <f>IF(BikeData[[#This Row],[casual]]+BikeData[[#This Row],[registered]]=BikeData[[#This Row],[cnt]],"OK","Check")</f>
        <v>OK</v>
      </c>
      <c r="R80">
        <f>IF(BikeData[[#This Row],[yr]]=0,2011,2012)</f>
        <v>2011</v>
      </c>
      <c r="S80" t="str">
        <f>CHOOSE(BikeData[[#This Row],[season]],"Winter","Spring","Summer","Fall")</f>
        <v>Winter</v>
      </c>
      <c r="T80" t="str">
        <f>TEXT(DATE(2000,BikeData[[#This Row],[mnth]],1),"mmmm")</f>
        <v>March</v>
      </c>
      <c r="U80" t="str">
        <f>IF(BikeData[[#This Row],[workingday]]=1,"Working Day","Non-working Day")</f>
        <v>Non-working Day</v>
      </c>
      <c r="V80" t="str">
        <f>CHOOSE(BikeData[[#This Row],[weekday]]+1,"Sunday","Monday","Tuesday","Wednesday","Thursday","Friday","Saturday")</f>
        <v>Sunday</v>
      </c>
      <c r="W80" t="str">
        <f>CHOOSE(BikeData[[#This Row],[weathersit]],"Clear / Few Clouds","Mist / Cloudy","Light Rain / Snow","Heavy Rain / Snow")</f>
        <v>Clear / Few Clouds</v>
      </c>
    </row>
    <row r="81" spans="1:23" x14ac:dyDescent="0.3">
      <c r="A81">
        <v>80</v>
      </c>
      <c r="B81" s="1">
        <v>40623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>
        <v>0.43043500000000001</v>
      </c>
      <c r="K81">
        <v>0.40973500000000002</v>
      </c>
      <c r="L81">
        <v>0.73739100000000002</v>
      </c>
      <c r="M81">
        <v>0.28878300000000001</v>
      </c>
      <c r="N81">
        <v>401</v>
      </c>
      <c r="O81">
        <v>1676</v>
      </c>
      <c r="P81">
        <v>2077</v>
      </c>
      <c r="Q81" t="str">
        <f>IF(BikeData[[#This Row],[casual]]+BikeData[[#This Row],[registered]]=BikeData[[#This Row],[cnt]],"OK","Check")</f>
        <v>OK</v>
      </c>
      <c r="R81">
        <f>IF(BikeData[[#This Row],[yr]]=0,2011,2012)</f>
        <v>2011</v>
      </c>
      <c r="S81" t="str">
        <f>CHOOSE(BikeData[[#This Row],[season]],"Winter","Spring","Summer","Fall")</f>
        <v>Spring</v>
      </c>
      <c r="T81" t="str">
        <f>TEXT(DATE(2000,BikeData[[#This Row],[mnth]],1),"mmmm")</f>
        <v>March</v>
      </c>
      <c r="U81" t="str">
        <f>IF(BikeData[[#This Row],[workingday]]=1,"Working Day","Non-working Day")</f>
        <v>Working Day</v>
      </c>
      <c r="V81" t="str">
        <f>CHOOSE(BikeData[[#This Row],[weekday]]+1,"Sunday","Monday","Tuesday","Wednesday","Thursday","Friday","Saturday")</f>
        <v>Monday</v>
      </c>
      <c r="W81" t="str">
        <f>CHOOSE(BikeData[[#This Row],[weathersit]],"Clear / Few Clouds","Mist / Cloudy","Light Rain / Snow","Heavy Rain / Snow")</f>
        <v>Mist / Cloudy</v>
      </c>
    </row>
    <row r="82" spans="1:23" x14ac:dyDescent="0.3">
      <c r="A82">
        <v>81</v>
      </c>
      <c r="B82" s="1">
        <v>40624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>
        <v>0.44166699999999998</v>
      </c>
      <c r="K82">
        <v>0.44064199999999998</v>
      </c>
      <c r="L82">
        <v>0.624583</v>
      </c>
      <c r="M82">
        <v>0.22575000000000001</v>
      </c>
      <c r="N82">
        <v>460</v>
      </c>
      <c r="O82">
        <v>2243</v>
      </c>
      <c r="P82">
        <v>2703</v>
      </c>
      <c r="Q82" t="str">
        <f>IF(BikeData[[#This Row],[casual]]+BikeData[[#This Row],[registered]]=BikeData[[#This Row],[cnt]],"OK","Check")</f>
        <v>OK</v>
      </c>
      <c r="R82">
        <f>IF(BikeData[[#This Row],[yr]]=0,2011,2012)</f>
        <v>2011</v>
      </c>
      <c r="S82" t="str">
        <f>CHOOSE(BikeData[[#This Row],[season]],"Winter","Spring","Summer","Fall")</f>
        <v>Spring</v>
      </c>
      <c r="T82" t="str">
        <f>TEXT(DATE(2000,BikeData[[#This Row],[mnth]],1),"mmmm")</f>
        <v>March</v>
      </c>
      <c r="U82" t="str">
        <f>IF(BikeData[[#This Row],[workingday]]=1,"Working Day","Non-working Day")</f>
        <v>Working Day</v>
      </c>
      <c r="V82" t="str">
        <f>CHOOSE(BikeData[[#This Row],[weekday]]+1,"Sunday","Monday","Tuesday","Wednesday","Thursday","Friday","Saturday")</f>
        <v>Tuesday</v>
      </c>
      <c r="W82" t="str">
        <f>CHOOSE(BikeData[[#This Row],[weathersit]],"Clear / Few Clouds","Mist / Cloudy","Light Rain / Snow","Heavy Rain / Snow")</f>
        <v>Clear / Few Clouds</v>
      </c>
    </row>
    <row r="83" spans="1:23" x14ac:dyDescent="0.3">
      <c r="A83">
        <v>82</v>
      </c>
      <c r="B83" s="1">
        <v>40625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>
        <v>0.34695700000000002</v>
      </c>
      <c r="K83">
        <v>0.33793899999999999</v>
      </c>
      <c r="L83">
        <v>0.83956500000000001</v>
      </c>
      <c r="M83">
        <v>0.234261</v>
      </c>
      <c r="N83">
        <v>203</v>
      </c>
      <c r="O83">
        <v>1918</v>
      </c>
      <c r="P83">
        <v>2121</v>
      </c>
      <c r="Q83" t="str">
        <f>IF(BikeData[[#This Row],[casual]]+BikeData[[#This Row],[registered]]=BikeData[[#This Row],[cnt]],"OK","Check")</f>
        <v>OK</v>
      </c>
      <c r="R83">
        <f>IF(BikeData[[#This Row],[yr]]=0,2011,2012)</f>
        <v>2011</v>
      </c>
      <c r="S83" t="str">
        <f>CHOOSE(BikeData[[#This Row],[season]],"Winter","Spring","Summer","Fall")</f>
        <v>Spring</v>
      </c>
      <c r="T83" t="str">
        <f>TEXT(DATE(2000,BikeData[[#This Row],[mnth]],1),"mmmm")</f>
        <v>March</v>
      </c>
      <c r="U83" t="str">
        <f>IF(BikeData[[#This Row],[workingday]]=1,"Working Day","Non-working Day")</f>
        <v>Working Day</v>
      </c>
      <c r="V83" t="str">
        <f>CHOOSE(BikeData[[#This Row],[weekday]]+1,"Sunday","Monday","Tuesday","Wednesday","Thursday","Friday","Saturday")</f>
        <v>Wednesday</v>
      </c>
      <c r="W83" t="str">
        <f>CHOOSE(BikeData[[#This Row],[weathersit]],"Clear / Few Clouds","Mist / Cloudy","Light Rain / Snow","Heavy Rain / Snow")</f>
        <v>Mist / Cloudy</v>
      </c>
    </row>
    <row r="84" spans="1:23" x14ac:dyDescent="0.3">
      <c r="A84">
        <v>83</v>
      </c>
      <c r="B84" s="1">
        <v>40626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>
        <v>0.28499999999999998</v>
      </c>
      <c r="K84">
        <v>0.27083299999999999</v>
      </c>
      <c r="L84">
        <v>0.80583300000000002</v>
      </c>
      <c r="M84">
        <v>0.243787</v>
      </c>
      <c r="N84">
        <v>166</v>
      </c>
      <c r="O84">
        <v>1699</v>
      </c>
      <c r="P84">
        <v>1865</v>
      </c>
      <c r="Q84" t="str">
        <f>IF(BikeData[[#This Row],[casual]]+BikeData[[#This Row],[registered]]=BikeData[[#This Row],[cnt]],"OK","Check")</f>
        <v>OK</v>
      </c>
      <c r="R84">
        <f>IF(BikeData[[#This Row],[yr]]=0,2011,2012)</f>
        <v>2011</v>
      </c>
      <c r="S84" t="str">
        <f>CHOOSE(BikeData[[#This Row],[season]],"Winter","Spring","Summer","Fall")</f>
        <v>Spring</v>
      </c>
      <c r="T84" t="str">
        <f>TEXT(DATE(2000,BikeData[[#This Row],[mnth]],1),"mmmm")</f>
        <v>March</v>
      </c>
      <c r="U84" t="str">
        <f>IF(BikeData[[#This Row],[workingday]]=1,"Working Day","Non-working Day")</f>
        <v>Working Day</v>
      </c>
      <c r="V84" t="str">
        <f>CHOOSE(BikeData[[#This Row],[weekday]]+1,"Sunday","Monday","Tuesday","Wednesday","Thursday","Friday","Saturday")</f>
        <v>Thursday</v>
      </c>
      <c r="W84" t="str">
        <f>CHOOSE(BikeData[[#This Row],[weathersit]],"Clear / Few Clouds","Mist / Cloudy","Light Rain / Snow","Heavy Rain / Snow")</f>
        <v>Mist / Cloudy</v>
      </c>
    </row>
    <row r="85" spans="1:23" x14ac:dyDescent="0.3">
      <c r="A85">
        <v>84</v>
      </c>
      <c r="B85" s="1">
        <v>40627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>
        <v>0.26416699999999999</v>
      </c>
      <c r="K85">
        <v>0.25631199999999998</v>
      </c>
      <c r="L85">
        <v>0.495</v>
      </c>
      <c r="M85">
        <v>0.23072500000000001</v>
      </c>
      <c r="N85">
        <v>300</v>
      </c>
      <c r="O85">
        <v>1910</v>
      </c>
      <c r="P85">
        <v>2210</v>
      </c>
      <c r="Q85" t="str">
        <f>IF(BikeData[[#This Row],[casual]]+BikeData[[#This Row],[registered]]=BikeData[[#This Row],[cnt]],"OK","Check")</f>
        <v>OK</v>
      </c>
      <c r="R85">
        <f>IF(BikeData[[#This Row],[yr]]=0,2011,2012)</f>
        <v>2011</v>
      </c>
      <c r="S85" t="str">
        <f>CHOOSE(BikeData[[#This Row],[season]],"Winter","Spring","Summer","Fall")</f>
        <v>Spring</v>
      </c>
      <c r="T85" t="str">
        <f>TEXT(DATE(2000,BikeData[[#This Row],[mnth]],1),"mmmm")</f>
        <v>March</v>
      </c>
      <c r="U85" t="str">
        <f>IF(BikeData[[#This Row],[workingday]]=1,"Working Day","Non-working Day")</f>
        <v>Working Day</v>
      </c>
      <c r="V85" t="str">
        <f>CHOOSE(BikeData[[#This Row],[weekday]]+1,"Sunday","Monday","Tuesday","Wednesday","Thursday","Friday","Saturday")</f>
        <v>Friday</v>
      </c>
      <c r="W85" t="str">
        <f>CHOOSE(BikeData[[#This Row],[weathersit]],"Clear / Few Clouds","Mist / Cloudy","Light Rain / Snow","Heavy Rain / Snow")</f>
        <v>Clear / Few Clouds</v>
      </c>
    </row>
    <row r="86" spans="1:23" x14ac:dyDescent="0.3">
      <c r="A86">
        <v>85</v>
      </c>
      <c r="B86" s="1">
        <v>40628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>
        <v>0.26583299999999999</v>
      </c>
      <c r="K86">
        <v>0.25757099999999999</v>
      </c>
      <c r="L86">
        <v>0.39416699999999999</v>
      </c>
      <c r="M86">
        <v>0.20957100000000001</v>
      </c>
      <c r="N86">
        <v>981</v>
      </c>
      <c r="O86">
        <v>1515</v>
      </c>
      <c r="P86">
        <v>2496</v>
      </c>
      <c r="Q86" t="str">
        <f>IF(BikeData[[#This Row],[casual]]+BikeData[[#This Row],[registered]]=BikeData[[#This Row],[cnt]],"OK","Check")</f>
        <v>OK</v>
      </c>
      <c r="R86">
        <f>IF(BikeData[[#This Row],[yr]]=0,2011,2012)</f>
        <v>2011</v>
      </c>
      <c r="S86" t="str">
        <f>CHOOSE(BikeData[[#This Row],[season]],"Winter","Spring","Summer","Fall")</f>
        <v>Spring</v>
      </c>
      <c r="T86" t="str">
        <f>TEXT(DATE(2000,BikeData[[#This Row],[mnth]],1),"mmmm")</f>
        <v>March</v>
      </c>
      <c r="U86" t="str">
        <f>IF(BikeData[[#This Row],[workingday]]=1,"Working Day","Non-working Day")</f>
        <v>Non-working Day</v>
      </c>
      <c r="V86" t="str">
        <f>CHOOSE(BikeData[[#This Row],[weekday]]+1,"Sunday","Monday","Tuesday","Wednesday","Thursday","Friday","Saturday")</f>
        <v>Saturday</v>
      </c>
      <c r="W86" t="str">
        <f>CHOOSE(BikeData[[#This Row],[weathersit]],"Clear / Few Clouds","Mist / Cloudy","Light Rain / Snow","Heavy Rain / Snow")</f>
        <v>Clear / Few Clouds</v>
      </c>
    </row>
    <row r="87" spans="1:23" x14ac:dyDescent="0.3">
      <c r="A87">
        <v>86</v>
      </c>
      <c r="B87" s="1">
        <v>40629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>
        <v>0.25304300000000002</v>
      </c>
      <c r="K87">
        <v>0.25033899999999998</v>
      </c>
      <c r="L87">
        <v>0.49391299999999999</v>
      </c>
      <c r="M87">
        <v>0.18429999999999999</v>
      </c>
      <c r="N87">
        <v>472</v>
      </c>
      <c r="O87">
        <v>1221</v>
      </c>
      <c r="P87">
        <v>1693</v>
      </c>
      <c r="Q87" t="str">
        <f>IF(BikeData[[#This Row],[casual]]+BikeData[[#This Row],[registered]]=BikeData[[#This Row],[cnt]],"OK","Check")</f>
        <v>OK</v>
      </c>
      <c r="R87">
        <f>IF(BikeData[[#This Row],[yr]]=0,2011,2012)</f>
        <v>2011</v>
      </c>
      <c r="S87" t="str">
        <f>CHOOSE(BikeData[[#This Row],[season]],"Winter","Spring","Summer","Fall")</f>
        <v>Spring</v>
      </c>
      <c r="T87" t="str">
        <f>TEXT(DATE(2000,BikeData[[#This Row],[mnth]],1),"mmmm")</f>
        <v>March</v>
      </c>
      <c r="U87" t="str">
        <f>IF(BikeData[[#This Row],[workingday]]=1,"Working Day","Non-working Day")</f>
        <v>Non-working Day</v>
      </c>
      <c r="V87" t="str">
        <f>CHOOSE(BikeData[[#This Row],[weekday]]+1,"Sunday","Monday","Tuesday","Wednesday","Thursday","Friday","Saturday")</f>
        <v>Sunday</v>
      </c>
      <c r="W87" t="str">
        <f>CHOOSE(BikeData[[#This Row],[weathersit]],"Clear / Few Clouds","Mist / Cloudy","Light Rain / Snow","Heavy Rain / Snow")</f>
        <v>Mist / Cloudy</v>
      </c>
    </row>
    <row r="88" spans="1:23" x14ac:dyDescent="0.3">
      <c r="A88">
        <v>87</v>
      </c>
      <c r="B88" s="1">
        <v>40630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>
        <v>0.26434800000000003</v>
      </c>
      <c r="K88">
        <v>0.25757400000000003</v>
      </c>
      <c r="L88">
        <v>0.302174</v>
      </c>
      <c r="M88">
        <v>0.212204</v>
      </c>
      <c r="N88">
        <v>222</v>
      </c>
      <c r="O88">
        <v>1806</v>
      </c>
      <c r="P88">
        <v>2028</v>
      </c>
      <c r="Q88" t="str">
        <f>IF(BikeData[[#This Row],[casual]]+BikeData[[#This Row],[registered]]=BikeData[[#This Row],[cnt]],"OK","Check")</f>
        <v>OK</v>
      </c>
      <c r="R88">
        <f>IF(BikeData[[#This Row],[yr]]=0,2011,2012)</f>
        <v>2011</v>
      </c>
      <c r="S88" t="str">
        <f>CHOOSE(BikeData[[#This Row],[season]],"Winter","Spring","Summer","Fall")</f>
        <v>Spring</v>
      </c>
      <c r="T88" t="str">
        <f>TEXT(DATE(2000,BikeData[[#This Row],[mnth]],1),"mmmm")</f>
        <v>March</v>
      </c>
      <c r="U88" t="str">
        <f>IF(BikeData[[#This Row],[workingday]]=1,"Working Day","Non-working Day")</f>
        <v>Working Day</v>
      </c>
      <c r="V88" t="str">
        <f>CHOOSE(BikeData[[#This Row],[weekday]]+1,"Sunday","Monday","Tuesday","Wednesday","Thursday","Friday","Saturday")</f>
        <v>Monday</v>
      </c>
      <c r="W88" t="str">
        <f>CHOOSE(BikeData[[#This Row],[weathersit]],"Clear / Few Clouds","Mist / Cloudy","Light Rain / Snow","Heavy Rain / Snow")</f>
        <v>Clear / Few Clouds</v>
      </c>
    </row>
    <row r="89" spans="1:23" x14ac:dyDescent="0.3">
      <c r="A89">
        <v>88</v>
      </c>
      <c r="B89" s="1">
        <v>40631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>
        <v>0.30249999999999999</v>
      </c>
      <c r="K89">
        <v>0.292908</v>
      </c>
      <c r="L89">
        <v>0.31416699999999997</v>
      </c>
      <c r="M89">
        <v>0.226996</v>
      </c>
      <c r="N89">
        <v>317</v>
      </c>
      <c r="O89">
        <v>2108</v>
      </c>
      <c r="P89">
        <v>2425</v>
      </c>
      <c r="Q89" t="str">
        <f>IF(BikeData[[#This Row],[casual]]+BikeData[[#This Row],[registered]]=BikeData[[#This Row],[cnt]],"OK","Check")</f>
        <v>OK</v>
      </c>
      <c r="R89">
        <f>IF(BikeData[[#This Row],[yr]]=0,2011,2012)</f>
        <v>2011</v>
      </c>
      <c r="S89" t="str">
        <f>CHOOSE(BikeData[[#This Row],[season]],"Winter","Spring","Summer","Fall")</f>
        <v>Spring</v>
      </c>
      <c r="T89" t="str">
        <f>TEXT(DATE(2000,BikeData[[#This Row],[mnth]],1),"mmmm")</f>
        <v>March</v>
      </c>
      <c r="U89" t="str">
        <f>IF(BikeData[[#This Row],[workingday]]=1,"Working Day","Non-working Day")</f>
        <v>Working Day</v>
      </c>
      <c r="V89" t="str">
        <f>CHOOSE(BikeData[[#This Row],[weekday]]+1,"Sunday","Monday","Tuesday","Wednesday","Thursday","Friday","Saturday")</f>
        <v>Tuesday</v>
      </c>
      <c r="W89" t="str">
        <f>CHOOSE(BikeData[[#This Row],[weathersit]],"Clear / Few Clouds","Mist / Cloudy","Light Rain / Snow","Heavy Rain / Snow")</f>
        <v>Clear / Few Clouds</v>
      </c>
    </row>
    <row r="90" spans="1:23" x14ac:dyDescent="0.3">
      <c r="A90">
        <v>89</v>
      </c>
      <c r="B90" s="1">
        <v>40632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>
        <v>0.3</v>
      </c>
      <c r="K90">
        <v>0.29735</v>
      </c>
      <c r="L90">
        <v>0.64666699999999999</v>
      </c>
      <c r="M90">
        <v>0.17288799999999999</v>
      </c>
      <c r="N90">
        <v>168</v>
      </c>
      <c r="O90">
        <v>1368</v>
      </c>
      <c r="P90">
        <v>1536</v>
      </c>
      <c r="Q90" t="str">
        <f>IF(BikeData[[#This Row],[casual]]+BikeData[[#This Row],[registered]]=BikeData[[#This Row],[cnt]],"OK","Check")</f>
        <v>OK</v>
      </c>
      <c r="R90">
        <f>IF(BikeData[[#This Row],[yr]]=0,2011,2012)</f>
        <v>2011</v>
      </c>
      <c r="S90" t="str">
        <f>CHOOSE(BikeData[[#This Row],[season]],"Winter","Spring","Summer","Fall")</f>
        <v>Spring</v>
      </c>
      <c r="T90" t="str">
        <f>TEXT(DATE(2000,BikeData[[#This Row],[mnth]],1),"mmmm")</f>
        <v>March</v>
      </c>
      <c r="U90" t="str">
        <f>IF(BikeData[[#This Row],[workingday]]=1,"Working Day","Non-working Day")</f>
        <v>Working Day</v>
      </c>
      <c r="V90" t="str">
        <f>CHOOSE(BikeData[[#This Row],[weekday]]+1,"Sunday","Monday","Tuesday","Wednesday","Thursday","Friday","Saturday")</f>
        <v>Wednesday</v>
      </c>
      <c r="W90" t="str">
        <f>CHOOSE(BikeData[[#This Row],[weathersit]],"Clear / Few Clouds","Mist / Cloudy","Light Rain / Snow","Heavy Rain / Snow")</f>
        <v>Mist / Cloudy</v>
      </c>
    </row>
    <row r="91" spans="1:23" x14ac:dyDescent="0.3">
      <c r="A91">
        <v>90</v>
      </c>
      <c r="B91" s="1">
        <v>40633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>
        <v>0.26833299999999999</v>
      </c>
      <c r="K91">
        <v>0.257575</v>
      </c>
      <c r="L91">
        <v>0.91833299999999995</v>
      </c>
      <c r="M91">
        <v>0.21764600000000001</v>
      </c>
      <c r="N91">
        <v>179</v>
      </c>
      <c r="O91">
        <v>1506</v>
      </c>
      <c r="P91">
        <v>1685</v>
      </c>
      <c r="Q91" t="str">
        <f>IF(BikeData[[#This Row],[casual]]+BikeData[[#This Row],[registered]]=BikeData[[#This Row],[cnt]],"OK","Check")</f>
        <v>OK</v>
      </c>
      <c r="R91">
        <f>IF(BikeData[[#This Row],[yr]]=0,2011,2012)</f>
        <v>2011</v>
      </c>
      <c r="S91" t="str">
        <f>CHOOSE(BikeData[[#This Row],[season]],"Winter","Spring","Summer","Fall")</f>
        <v>Spring</v>
      </c>
      <c r="T91" t="str">
        <f>TEXT(DATE(2000,BikeData[[#This Row],[mnth]],1),"mmmm")</f>
        <v>March</v>
      </c>
      <c r="U91" t="str">
        <f>IF(BikeData[[#This Row],[workingday]]=1,"Working Day","Non-working Day")</f>
        <v>Working Day</v>
      </c>
      <c r="V91" t="str">
        <f>CHOOSE(BikeData[[#This Row],[weekday]]+1,"Sunday","Monday","Tuesday","Wednesday","Thursday","Friday","Saturday")</f>
        <v>Thursday</v>
      </c>
      <c r="W91" t="str">
        <f>CHOOSE(BikeData[[#This Row],[weathersit]],"Clear / Few Clouds","Mist / Cloudy","Light Rain / Snow","Heavy Rain / Snow")</f>
        <v>Light Rain / Snow</v>
      </c>
    </row>
    <row r="92" spans="1:23" x14ac:dyDescent="0.3">
      <c r="A92">
        <v>91</v>
      </c>
      <c r="B92" s="1">
        <v>40634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>
        <v>0.3</v>
      </c>
      <c r="K92">
        <v>0.28345399999999998</v>
      </c>
      <c r="L92">
        <v>0.68625000000000003</v>
      </c>
      <c r="M92">
        <v>0.25870799999999999</v>
      </c>
      <c r="N92">
        <v>307</v>
      </c>
      <c r="O92">
        <v>1920</v>
      </c>
      <c r="P92">
        <v>2227</v>
      </c>
      <c r="Q92" t="str">
        <f>IF(BikeData[[#This Row],[casual]]+BikeData[[#This Row],[registered]]=BikeData[[#This Row],[cnt]],"OK","Check")</f>
        <v>OK</v>
      </c>
      <c r="R92">
        <f>IF(BikeData[[#This Row],[yr]]=0,2011,2012)</f>
        <v>2011</v>
      </c>
      <c r="S92" t="str">
        <f>CHOOSE(BikeData[[#This Row],[season]],"Winter","Spring","Summer","Fall")</f>
        <v>Spring</v>
      </c>
      <c r="T92" t="str">
        <f>TEXT(DATE(2000,BikeData[[#This Row],[mnth]],1),"mmmm")</f>
        <v>April</v>
      </c>
      <c r="U92" t="str">
        <f>IF(BikeData[[#This Row],[workingday]]=1,"Working Day","Non-working Day")</f>
        <v>Working Day</v>
      </c>
      <c r="V92" t="str">
        <f>CHOOSE(BikeData[[#This Row],[weekday]]+1,"Sunday","Monday","Tuesday","Wednesday","Thursday","Friday","Saturday")</f>
        <v>Friday</v>
      </c>
      <c r="W92" t="str">
        <f>CHOOSE(BikeData[[#This Row],[weathersit]],"Clear / Few Clouds","Mist / Cloudy","Light Rain / Snow","Heavy Rain / Snow")</f>
        <v>Mist / Cloudy</v>
      </c>
    </row>
    <row r="93" spans="1:23" x14ac:dyDescent="0.3">
      <c r="A93">
        <v>92</v>
      </c>
      <c r="B93" s="1">
        <v>40635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>
        <v>0.315</v>
      </c>
      <c r="K93">
        <v>0.315637</v>
      </c>
      <c r="L93">
        <v>0.65375000000000005</v>
      </c>
      <c r="M93">
        <v>0.19714599999999999</v>
      </c>
      <c r="N93">
        <v>898</v>
      </c>
      <c r="O93">
        <v>1354</v>
      </c>
      <c r="P93">
        <v>2252</v>
      </c>
      <c r="Q93" t="str">
        <f>IF(BikeData[[#This Row],[casual]]+BikeData[[#This Row],[registered]]=BikeData[[#This Row],[cnt]],"OK","Check")</f>
        <v>OK</v>
      </c>
      <c r="R93">
        <f>IF(BikeData[[#This Row],[yr]]=0,2011,2012)</f>
        <v>2011</v>
      </c>
      <c r="S93" t="str">
        <f>CHOOSE(BikeData[[#This Row],[season]],"Winter","Spring","Summer","Fall")</f>
        <v>Spring</v>
      </c>
      <c r="T93" t="str">
        <f>TEXT(DATE(2000,BikeData[[#This Row],[mnth]],1),"mmmm")</f>
        <v>April</v>
      </c>
      <c r="U93" t="str">
        <f>IF(BikeData[[#This Row],[workingday]]=1,"Working Day","Non-working Day")</f>
        <v>Non-working Day</v>
      </c>
      <c r="V93" t="str">
        <f>CHOOSE(BikeData[[#This Row],[weekday]]+1,"Sunday","Monday","Tuesday","Wednesday","Thursday","Friday","Saturday")</f>
        <v>Saturday</v>
      </c>
      <c r="W93" t="str">
        <f>CHOOSE(BikeData[[#This Row],[weathersit]],"Clear / Few Clouds","Mist / Cloudy","Light Rain / Snow","Heavy Rain / Snow")</f>
        <v>Mist / Cloudy</v>
      </c>
    </row>
    <row r="94" spans="1:23" x14ac:dyDescent="0.3">
      <c r="A94">
        <v>93</v>
      </c>
      <c r="B94" s="1">
        <v>40636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>
        <v>0.37833299999999997</v>
      </c>
      <c r="K94">
        <v>0.37876700000000002</v>
      </c>
      <c r="L94">
        <v>0.48</v>
      </c>
      <c r="M94">
        <v>0.18221300000000001</v>
      </c>
      <c r="N94">
        <v>1651</v>
      </c>
      <c r="O94">
        <v>1598</v>
      </c>
      <c r="P94">
        <v>3249</v>
      </c>
      <c r="Q94" t="str">
        <f>IF(BikeData[[#This Row],[casual]]+BikeData[[#This Row],[registered]]=BikeData[[#This Row],[cnt]],"OK","Check")</f>
        <v>OK</v>
      </c>
      <c r="R94">
        <f>IF(BikeData[[#This Row],[yr]]=0,2011,2012)</f>
        <v>2011</v>
      </c>
      <c r="S94" t="str">
        <f>CHOOSE(BikeData[[#This Row],[season]],"Winter","Spring","Summer","Fall")</f>
        <v>Spring</v>
      </c>
      <c r="T94" t="str">
        <f>TEXT(DATE(2000,BikeData[[#This Row],[mnth]],1),"mmmm")</f>
        <v>April</v>
      </c>
      <c r="U94" t="str">
        <f>IF(BikeData[[#This Row],[workingday]]=1,"Working Day","Non-working Day")</f>
        <v>Non-working Day</v>
      </c>
      <c r="V94" t="str">
        <f>CHOOSE(BikeData[[#This Row],[weekday]]+1,"Sunday","Monday","Tuesday","Wednesday","Thursday","Friday","Saturday")</f>
        <v>Sunday</v>
      </c>
      <c r="W94" t="str">
        <f>CHOOSE(BikeData[[#This Row],[weathersit]],"Clear / Few Clouds","Mist / Cloudy","Light Rain / Snow","Heavy Rain / Snow")</f>
        <v>Clear / Few Clouds</v>
      </c>
    </row>
    <row r="95" spans="1:23" x14ac:dyDescent="0.3">
      <c r="A95">
        <v>94</v>
      </c>
      <c r="B95" s="1">
        <v>40637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>
        <v>0.57333299999999998</v>
      </c>
      <c r="K95">
        <v>0.54292899999999999</v>
      </c>
      <c r="L95">
        <v>0.42625000000000002</v>
      </c>
      <c r="M95">
        <v>0.385571</v>
      </c>
      <c r="N95">
        <v>734</v>
      </c>
      <c r="O95">
        <v>2381</v>
      </c>
      <c r="P95">
        <v>3115</v>
      </c>
      <c r="Q95" t="str">
        <f>IF(BikeData[[#This Row],[casual]]+BikeData[[#This Row],[registered]]=BikeData[[#This Row],[cnt]],"OK","Check")</f>
        <v>OK</v>
      </c>
      <c r="R95">
        <f>IF(BikeData[[#This Row],[yr]]=0,2011,2012)</f>
        <v>2011</v>
      </c>
      <c r="S95" t="str">
        <f>CHOOSE(BikeData[[#This Row],[season]],"Winter","Spring","Summer","Fall")</f>
        <v>Spring</v>
      </c>
      <c r="T95" t="str">
        <f>TEXT(DATE(2000,BikeData[[#This Row],[mnth]],1),"mmmm")</f>
        <v>April</v>
      </c>
      <c r="U95" t="str">
        <f>IF(BikeData[[#This Row],[workingday]]=1,"Working Day","Non-working Day")</f>
        <v>Working Day</v>
      </c>
      <c r="V95" t="str">
        <f>CHOOSE(BikeData[[#This Row],[weekday]]+1,"Sunday","Monday","Tuesday","Wednesday","Thursday","Friday","Saturday")</f>
        <v>Monday</v>
      </c>
      <c r="W95" t="str">
        <f>CHOOSE(BikeData[[#This Row],[weathersit]],"Clear / Few Clouds","Mist / Cloudy","Light Rain / Snow","Heavy Rain / Snow")</f>
        <v>Clear / Few Clouds</v>
      </c>
    </row>
    <row r="96" spans="1:23" x14ac:dyDescent="0.3">
      <c r="A96">
        <v>95</v>
      </c>
      <c r="B96" s="1">
        <v>40638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>
        <v>0.41416700000000001</v>
      </c>
      <c r="K96">
        <v>0.39834999999999998</v>
      </c>
      <c r="L96">
        <v>0.64208299999999996</v>
      </c>
      <c r="M96">
        <v>0.388067</v>
      </c>
      <c r="N96">
        <v>167</v>
      </c>
      <c r="O96">
        <v>1628</v>
      </c>
      <c r="P96">
        <v>1795</v>
      </c>
      <c r="Q96" t="str">
        <f>IF(BikeData[[#This Row],[casual]]+BikeData[[#This Row],[registered]]=BikeData[[#This Row],[cnt]],"OK","Check")</f>
        <v>OK</v>
      </c>
      <c r="R96">
        <f>IF(BikeData[[#This Row],[yr]]=0,2011,2012)</f>
        <v>2011</v>
      </c>
      <c r="S96" t="str">
        <f>CHOOSE(BikeData[[#This Row],[season]],"Winter","Spring","Summer","Fall")</f>
        <v>Spring</v>
      </c>
      <c r="T96" t="str">
        <f>TEXT(DATE(2000,BikeData[[#This Row],[mnth]],1),"mmmm")</f>
        <v>April</v>
      </c>
      <c r="U96" t="str">
        <f>IF(BikeData[[#This Row],[workingday]]=1,"Working Day","Non-working Day")</f>
        <v>Working Day</v>
      </c>
      <c r="V96" t="str">
        <f>CHOOSE(BikeData[[#This Row],[weekday]]+1,"Sunday","Monday","Tuesday","Wednesday","Thursday","Friday","Saturday")</f>
        <v>Tuesday</v>
      </c>
      <c r="W96" t="str">
        <f>CHOOSE(BikeData[[#This Row],[weathersit]],"Clear / Few Clouds","Mist / Cloudy","Light Rain / Snow","Heavy Rain / Snow")</f>
        <v>Mist / Cloudy</v>
      </c>
    </row>
    <row r="97" spans="1:23" x14ac:dyDescent="0.3">
      <c r="A97">
        <v>96</v>
      </c>
      <c r="B97" s="1">
        <v>40639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>
        <v>0.39083299999999999</v>
      </c>
      <c r="K97">
        <v>0.38760800000000001</v>
      </c>
      <c r="L97">
        <v>0.470833</v>
      </c>
      <c r="M97">
        <v>0.26306299999999999</v>
      </c>
      <c r="N97">
        <v>413</v>
      </c>
      <c r="O97">
        <v>2395</v>
      </c>
      <c r="P97">
        <v>2808</v>
      </c>
      <c r="Q97" t="str">
        <f>IF(BikeData[[#This Row],[casual]]+BikeData[[#This Row],[registered]]=BikeData[[#This Row],[cnt]],"OK","Check")</f>
        <v>OK</v>
      </c>
      <c r="R97">
        <f>IF(BikeData[[#This Row],[yr]]=0,2011,2012)</f>
        <v>2011</v>
      </c>
      <c r="S97" t="str">
        <f>CHOOSE(BikeData[[#This Row],[season]],"Winter","Spring","Summer","Fall")</f>
        <v>Spring</v>
      </c>
      <c r="T97" t="str">
        <f>TEXT(DATE(2000,BikeData[[#This Row],[mnth]],1),"mmmm")</f>
        <v>April</v>
      </c>
      <c r="U97" t="str">
        <f>IF(BikeData[[#This Row],[workingday]]=1,"Working Day","Non-working Day")</f>
        <v>Working Day</v>
      </c>
      <c r="V97" t="str">
        <f>CHOOSE(BikeData[[#This Row],[weekday]]+1,"Sunday","Monday","Tuesday","Wednesday","Thursday","Friday","Saturday")</f>
        <v>Wednesday</v>
      </c>
      <c r="W97" t="str">
        <f>CHOOSE(BikeData[[#This Row],[weathersit]],"Clear / Few Clouds","Mist / Cloudy","Light Rain / Snow","Heavy Rain / Snow")</f>
        <v>Clear / Few Clouds</v>
      </c>
    </row>
    <row r="98" spans="1:23" x14ac:dyDescent="0.3">
      <c r="A98">
        <v>97</v>
      </c>
      <c r="B98" s="1">
        <v>40640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>
        <v>0.4375</v>
      </c>
      <c r="K98">
        <v>0.43369600000000003</v>
      </c>
      <c r="L98">
        <v>0.60291700000000004</v>
      </c>
      <c r="M98">
        <v>0.16231200000000001</v>
      </c>
      <c r="N98">
        <v>571</v>
      </c>
      <c r="O98">
        <v>2570</v>
      </c>
      <c r="P98">
        <v>3141</v>
      </c>
      <c r="Q98" t="str">
        <f>IF(BikeData[[#This Row],[casual]]+BikeData[[#This Row],[registered]]=BikeData[[#This Row],[cnt]],"OK","Check")</f>
        <v>OK</v>
      </c>
      <c r="R98">
        <f>IF(BikeData[[#This Row],[yr]]=0,2011,2012)</f>
        <v>2011</v>
      </c>
      <c r="S98" t="str">
        <f>CHOOSE(BikeData[[#This Row],[season]],"Winter","Spring","Summer","Fall")</f>
        <v>Spring</v>
      </c>
      <c r="T98" t="str">
        <f>TEXT(DATE(2000,BikeData[[#This Row],[mnth]],1),"mmmm")</f>
        <v>April</v>
      </c>
      <c r="U98" t="str">
        <f>IF(BikeData[[#This Row],[workingday]]=1,"Working Day","Non-working Day")</f>
        <v>Working Day</v>
      </c>
      <c r="V98" t="str">
        <f>CHOOSE(BikeData[[#This Row],[weekday]]+1,"Sunday","Monday","Tuesday","Wednesday","Thursday","Friday","Saturday")</f>
        <v>Thursday</v>
      </c>
      <c r="W98" t="str">
        <f>CHOOSE(BikeData[[#This Row],[weathersit]],"Clear / Few Clouds","Mist / Cloudy","Light Rain / Snow","Heavy Rain / Snow")</f>
        <v>Clear / Few Clouds</v>
      </c>
    </row>
    <row r="99" spans="1:23" x14ac:dyDescent="0.3">
      <c r="A99">
        <v>98</v>
      </c>
      <c r="B99" s="1">
        <v>40641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>
        <v>0.33583299999999999</v>
      </c>
      <c r="K99">
        <v>0.32447900000000002</v>
      </c>
      <c r="L99">
        <v>0.83625000000000005</v>
      </c>
      <c r="M99">
        <v>0.226992</v>
      </c>
      <c r="N99">
        <v>172</v>
      </c>
      <c r="O99">
        <v>1299</v>
      </c>
      <c r="P99">
        <v>1471</v>
      </c>
      <c r="Q99" t="str">
        <f>IF(BikeData[[#This Row],[casual]]+BikeData[[#This Row],[registered]]=BikeData[[#This Row],[cnt]],"OK","Check")</f>
        <v>OK</v>
      </c>
      <c r="R99">
        <f>IF(BikeData[[#This Row],[yr]]=0,2011,2012)</f>
        <v>2011</v>
      </c>
      <c r="S99" t="str">
        <f>CHOOSE(BikeData[[#This Row],[season]],"Winter","Spring","Summer","Fall")</f>
        <v>Spring</v>
      </c>
      <c r="T99" t="str">
        <f>TEXT(DATE(2000,BikeData[[#This Row],[mnth]],1),"mmmm")</f>
        <v>April</v>
      </c>
      <c r="U99" t="str">
        <f>IF(BikeData[[#This Row],[workingday]]=1,"Working Day","Non-working Day")</f>
        <v>Working Day</v>
      </c>
      <c r="V99" t="str">
        <f>CHOOSE(BikeData[[#This Row],[weekday]]+1,"Sunday","Monday","Tuesday","Wednesday","Thursday","Friday","Saturday")</f>
        <v>Friday</v>
      </c>
      <c r="W99" t="str">
        <f>CHOOSE(BikeData[[#This Row],[weathersit]],"Clear / Few Clouds","Mist / Cloudy","Light Rain / Snow","Heavy Rain / Snow")</f>
        <v>Mist / Cloudy</v>
      </c>
    </row>
    <row r="100" spans="1:23" x14ac:dyDescent="0.3">
      <c r="A100">
        <v>99</v>
      </c>
      <c r="B100" s="1">
        <v>40642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>
        <v>0.34250000000000003</v>
      </c>
      <c r="K100">
        <v>0.34152900000000003</v>
      </c>
      <c r="L100">
        <v>0.87749999999999995</v>
      </c>
      <c r="M100">
        <v>0.13308300000000001</v>
      </c>
      <c r="N100">
        <v>879</v>
      </c>
      <c r="O100">
        <v>1576</v>
      </c>
      <c r="P100">
        <v>2455</v>
      </c>
      <c r="Q100" t="str">
        <f>IF(BikeData[[#This Row],[casual]]+BikeData[[#This Row],[registered]]=BikeData[[#This Row],[cnt]],"OK","Check")</f>
        <v>OK</v>
      </c>
      <c r="R100">
        <f>IF(BikeData[[#This Row],[yr]]=0,2011,2012)</f>
        <v>2011</v>
      </c>
      <c r="S100" t="str">
        <f>CHOOSE(BikeData[[#This Row],[season]],"Winter","Spring","Summer","Fall")</f>
        <v>Spring</v>
      </c>
      <c r="T100" t="str">
        <f>TEXT(DATE(2000,BikeData[[#This Row],[mnth]],1),"mmmm")</f>
        <v>April</v>
      </c>
      <c r="U100" t="str">
        <f>IF(BikeData[[#This Row],[workingday]]=1,"Working Day","Non-working Day")</f>
        <v>Non-working Day</v>
      </c>
      <c r="V100" t="str">
        <f>CHOOSE(BikeData[[#This Row],[weekday]]+1,"Sunday","Monday","Tuesday","Wednesday","Thursday","Friday","Saturday")</f>
        <v>Saturday</v>
      </c>
      <c r="W100" t="str">
        <f>CHOOSE(BikeData[[#This Row],[weathersit]],"Clear / Few Clouds","Mist / Cloudy","Light Rain / Snow","Heavy Rain / Snow")</f>
        <v>Mist / Cloudy</v>
      </c>
    </row>
    <row r="101" spans="1:23" x14ac:dyDescent="0.3">
      <c r="A101">
        <v>100</v>
      </c>
      <c r="B101" s="1">
        <v>40643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>
        <v>0.42666700000000002</v>
      </c>
      <c r="K101">
        <v>0.42673699999999998</v>
      </c>
      <c r="L101">
        <v>0.85750000000000004</v>
      </c>
      <c r="M101">
        <v>0.14676700000000001</v>
      </c>
      <c r="N101">
        <v>1188</v>
      </c>
      <c r="O101">
        <v>1707</v>
      </c>
      <c r="P101">
        <v>2895</v>
      </c>
      <c r="Q101" t="str">
        <f>IF(BikeData[[#This Row],[casual]]+BikeData[[#This Row],[registered]]=BikeData[[#This Row],[cnt]],"OK","Check")</f>
        <v>OK</v>
      </c>
      <c r="R101">
        <f>IF(BikeData[[#This Row],[yr]]=0,2011,2012)</f>
        <v>2011</v>
      </c>
      <c r="S101" t="str">
        <f>CHOOSE(BikeData[[#This Row],[season]],"Winter","Spring","Summer","Fall")</f>
        <v>Spring</v>
      </c>
      <c r="T101" t="str">
        <f>TEXT(DATE(2000,BikeData[[#This Row],[mnth]],1),"mmmm")</f>
        <v>April</v>
      </c>
      <c r="U101" t="str">
        <f>IF(BikeData[[#This Row],[workingday]]=1,"Working Day","Non-working Day")</f>
        <v>Non-working Day</v>
      </c>
      <c r="V101" t="str">
        <f>CHOOSE(BikeData[[#This Row],[weekday]]+1,"Sunday","Monday","Tuesday","Wednesday","Thursday","Friday","Saturday")</f>
        <v>Sunday</v>
      </c>
      <c r="W101" t="str">
        <f>CHOOSE(BikeData[[#This Row],[weathersit]],"Clear / Few Clouds","Mist / Cloudy","Light Rain / Snow","Heavy Rain / Snow")</f>
        <v>Mist / Cloudy</v>
      </c>
    </row>
    <row r="102" spans="1:23" x14ac:dyDescent="0.3">
      <c r="A102">
        <v>101</v>
      </c>
      <c r="B102" s="1">
        <v>40644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>
        <v>0.59565199999999996</v>
      </c>
      <c r="K102">
        <v>0.56521699999999997</v>
      </c>
      <c r="L102">
        <v>0.71695600000000004</v>
      </c>
      <c r="M102">
        <v>0.32447399999999998</v>
      </c>
      <c r="N102">
        <v>855</v>
      </c>
      <c r="O102">
        <v>2493</v>
      </c>
      <c r="P102">
        <v>3348</v>
      </c>
      <c r="Q102" t="str">
        <f>IF(BikeData[[#This Row],[casual]]+BikeData[[#This Row],[registered]]=BikeData[[#This Row],[cnt]],"OK","Check")</f>
        <v>OK</v>
      </c>
      <c r="R102">
        <f>IF(BikeData[[#This Row],[yr]]=0,2011,2012)</f>
        <v>2011</v>
      </c>
      <c r="S102" t="str">
        <f>CHOOSE(BikeData[[#This Row],[season]],"Winter","Spring","Summer","Fall")</f>
        <v>Spring</v>
      </c>
      <c r="T102" t="str">
        <f>TEXT(DATE(2000,BikeData[[#This Row],[mnth]],1),"mmmm")</f>
        <v>April</v>
      </c>
      <c r="U102" t="str">
        <f>IF(BikeData[[#This Row],[workingday]]=1,"Working Day","Non-working Day")</f>
        <v>Working Day</v>
      </c>
      <c r="V102" t="str">
        <f>CHOOSE(BikeData[[#This Row],[weekday]]+1,"Sunday","Monday","Tuesday","Wednesday","Thursday","Friday","Saturday")</f>
        <v>Monday</v>
      </c>
      <c r="W102" t="str">
        <f>CHOOSE(BikeData[[#This Row],[weathersit]],"Clear / Few Clouds","Mist / Cloudy","Light Rain / Snow","Heavy Rain / Snow")</f>
        <v>Mist / Cloudy</v>
      </c>
    </row>
    <row r="103" spans="1:23" x14ac:dyDescent="0.3">
      <c r="A103">
        <v>102</v>
      </c>
      <c r="B103" s="1">
        <v>40645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>
        <v>0.50249999999999995</v>
      </c>
      <c r="K103">
        <v>0.49305399999999999</v>
      </c>
      <c r="L103">
        <v>0.73916700000000002</v>
      </c>
      <c r="M103">
        <v>0.27487899999999998</v>
      </c>
      <c r="N103">
        <v>257</v>
      </c>
      <c r="O103">
        <v>1777</v>
      </c>
      <c r="P103">
        <v>2034</v>
      </c>
      <c r="Q103" t="str">
        <f>IF(BikeData[[#This Row],[casual]]+BikeData[[#This Row],[registered]]=BikeData[[#This Row],[cnt]],"OK","Check")</f>
        <v>OK</v>
      </c>
      <c r="R103">
        <f>IF(BikeData[[#This Row],[yr]]=0,2011,2012)</f>
        <v>2011</v>
      </c>
      <c r="S103" t="str">
        <f>CHOOSE(BikeData[[#This Row],[season]],"Winter","Spring","Summer","Fall")</f>
        <v>Spring</v>
      </c>
      <c r="T103" t="str">
        <f>TEXT(DATE(2000,BikeData[[#This Row],[mnth]],1),"mmmm")</f>
        <v>April</v>
      </c>
      <c r="U103" t="str">
        <f>IF(BikeData[[#This Row],[workingday]]=1,"Working Day","Non-working Day")</f>
        <v>Working Day</v>
      </c>
      <c r="V103" t="str">
        <f>CHOOSE(BikeData[[#This Row],[weekday]]+1,"Sunday","Monday","Tuesday","Wednesday","Thursday","Friday","Saturday")</f>
        <v>Tuesday</v>
      </c>
      <c r="W103" t="str">
        <f>CHOOSE(BikeData[[#This Row],[weathersit]],"Clear / Few Clouds","Mist / Cloudy","Light Rain / Snow","Heavy Rain / Snow")</f>
        <v>Mist / Cloudy</v>
      </c>
    </row>
    <row r="104" spans="1:23" x14ac:dyDescent="0.3">
      <c r="A104">
        <v>103</v>
      </c>
      <c r="B104" s="1">
        <v>40646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>
        <v>0.41249999999999998</v>
      </c>
      <c r="K104">
        <v>0.41728300000000002</v>
      </c>
      <c r="L104">
        <v>0.81916699999999998</v>
      </c>
      <c r="M104">
        <v>0.25061699999999998</v>
      </c>
      <c r="N104">
        <v>209</v>
      </c>
      <c r="O104">
        <v>1953</v>
      </c>
      <c r="P104">
        <v>2162</v>
      </c>
      <c r="Q104" t="str">
        <f>IF(BikeData[[#This Row],[casual]]+BikeData[[#This Row],[registered]]=BikeData[[#This Row],[cnt]],"OK","Check")</f>
        <v>OK</v>
      </c>
      <c r="R104">
        <f>IF(BikeData[[#This Row],[yr]]=0,2011,2012)</f>
        <v>2011</v>
      </c>
      <c r="S104" t="str">
        <f>CHOOSE(BikeData[[#This Row],[season]],"Winter","Spring","Summer","Fall")</f>
        <v>Spring</v>
      </c>
      <c r="T104" t="str">
        <f>TEXT(DATE(2000,BikeData[[#This Row],[mnth]],1),"mmmm")</f>
        <v>April</v>
      </c>
      <c r="U104" t="str">
        <f>IF(BikeData[[#This Row],[workingday]]=1,"Working Day","Non-working Day")</f>
        <v>Working Day</v>
      </c>
      <c r="V104" t="str">
        <f>CHOOSE(BikeData[[#This Row],[weekday]]+1,"Sunday","Monday","Tuesday","Wednesday","Thursday","Friday","Saturday")</f>
        <v>Wednesday</v>
      </c>
      <c r="W104" t="str">
        <f>CHOOSE(BikeData[[#This Row],[weathersit]],"Clear / Few Clouds","Mist / Cloudy","Light Rain / Snow","Heavy Rain / Snow")</f>
        <v>Mist / Cloudy</v>
      </c>
    </row>
    <row r="105" spans="1:23" x14ac:dyDescent="0.3">
      <c r="A105">
        <v>104</v>
      </c>
      <c r="B105" s="1">
        <v>40647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>
        <v>0.46750000000000003</v>
      </c>
      <c r="K105">
        <v>0.46274199999999999</v>
      </c>
      <c r="L105">
        <v>0.54041700000000004</v>
      </c>
      <c r="M105">
        <v>0.11070000000000001</v>
      </c>
      <c r="N105">
        <v>529</v>
      </c>
      <c r="O105">
        <v>2738</v>
      </c>
      <c r="P105">
        <v>3267</v>
      </c>
      <c r="Q105" t="str">
        <f>IF(BikeData[[#This Row],[casual]]+BikeData[[#This Row],[registered]]=BikeData[[#This Row],[cnt]],"OK","Check")</f>
        <v>OK</v>
      </c>
      <c r="R105">
        <f>IF(BikeData[[#This Row],[yr]]=0,2011,2012)</f>
        <v>2011</v>
      </c>
      <c r="S105" t="str">
        <f>CHOOSE(BikeData[[#This Row],[season]],"Winter","Spring","Summer","Fall")</f>
        <v>Spring</v>
      </c>
      <c r="T105" t="str">
        <f>TEXT(DATE(2000,BikeData[[#This Row],[mnth]],1),"mmmm")</f>
        <v>April</v>
      </c>
      <c r="U105" t="str">
        <f>IF(BikeData[[#This Row],[workingday]]=1,"Working Day","Non-working Day")</f>
        <v>Working Day</v>
      </c>
      <c r="V105" t="str">
        <f>CHOOSE(BikeData[[#This Row],[weekday]]+1,"Sunday","Monday","Tuesday","Wednesday","Thursday","Friday","Saturday")</f>
        <v>Thursday</v>
      </c>
      <c r="W105" t="str">
        <f>CHOOSE(BikeData[[#This Row],[weathersit]],"Clear / Few Clouds","Mist / Cloudy","Light Rain / Snow","Heavy Rain / Snow")</f>
        <v>Clear / Few Clouds</v>
      </c>
    </row>
    <row r="106" spans="1:23" x14ac:dyDescent="0.3">
      <c r="A106">
        <v>105</v>
      </c>
      <c r="B106" s="1">
        <v>40648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>
        <v>0.44666699999999998</v>
      </c>
      <c r="K106">
        <v>0.441913</v>
      </c>
      <c r="L106">
        <v>0.67125000000000001</v>
      </c>
      <c r="M106">
        <v>0.22637499999999999</v>
      </c>
      <c r="N106">
        <v>642</v>
      </c>
      <c r="O106">
        <v>2484</v>
      </c>
      <c r="P106">
        <v>3126</v>
      </c>
      <c r="Q106" t="str">
        <f>IF(BikeData[[#This Row],[casual]]+BikeData[[#This Row],[registered]]=BikeData[[#This Row],[cnt]],"OK","Check")</f>
        <v>OK</v>
      </c>
      <c r="R106">
        <f>IF(BikeData[[#This Row],[yr]]=0,2011,2012)</f>
        <v>2011</v>
      </c>
      <c r="S106" t="str">
        <f>CHOOSE(BikeData[[#This Row],[season]],"Winter","Spring","Summer","Fall")</f>
        <v>Spring</v>
      </c>
      <c r="T106" t="str">
        <f>TEXT(DATE(2000,BikeData[[#This Row],[mnth]],1),"mmmm")</f>
        <v>April</v>
      </c>
      <c r="U106" t="str">
        <f>IF(BikeData[[#This Row],[workingday]]=1,"Working Day","Non-working Day")</f>
        <v>Non-working Day</v>
      </c>
      <c r="V106" t="str">
        <f>CHOOSE(BikeData[[#This Row],[weekday]]+1,"Sunday","Monday","Tuesday","Wednesday","Thursday","Friday","Saturday")</f>
        <v>Friday</v>
      </c>
      <c r="W106" t="str">
        <f>CHOOSE(BikeData[[#This Row],[weathersit]],"Clear / Few Clouds","Mist / Cloudy","Light Rain / Snow","Heavy Rain / Snow")</f>
        <v>Clear / Few Clouds</v>
      </c>
    </row>
    <row r="107" spans="1:23" x14ac:dyDescent="0.3">
      <c r="A107">
        <v>106</v>
      </c>
      <c r="B107" s="1">
        <v>40649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>
        <v>0.43083300000000002</v>
      </c>
      <c r="K107">
        <v>0.42549199999999998</v>
      </c>
      <c r="L107">
        <v>0.88833300000000004</v>
      </c>
      <c r="M107">
        <v>0.340808</v>
      </c>
      <c r="N107">
        <v>121</v>
      </c>
      <c r="O107">
        <v>674</v>
      </c>
      <c r="P107">
        <v>795</v>
      </c>
      <c r="Q107" t="str">
        <f>IF(BikeData[[#This Row],[casual]]+BikeData[[#This Row],[registered]]=BikeData[[#This Row],[cnt]],"OK","Check")</f>
        <v>OK</v>
      </c>
      <c r="R107">
        <f>IF(BikeData[[#This Row],[yr]]=0,2011,2012)</f>
        <v>2011</v>
      </c>
      <c r="S107" t="str">
        <f>CHOOSE(BikeData[[#This Row],[season]],"Winter","Spring","Summer","Fall")</f>
        <v>Spring</v>
      </c>
      <c r="T107" t="str">
        <f>TEXT(DATE(2000,BikeData[[#This Row],[mnth]],1),"mmmm")</f>
        <v>April</v>
      </c>
      <c r="U107" t="str">
        <f>IF(BikeData[[#This Row],[workingday]]=1,"Working Day","Non-working Day")</f>
        <v>Non-working Day</v>
      </c>
      <c r="V107" t="str">
        <f>CHOOSE(BikeData[[#This Row],[weekday]]+1,"Sunday","Monday","Tuesday","Wednesday","Thursday","Friday","Saturday")</f>
        <v>Saturday</v>
      </c>
      <c r="W107" t="str">
        <f>CHOOSE(BikeData[[#This Row],[weathersit]],"Clear / Few Clouds","Mist / Cloudy","Light Rain / Snow","Heavy Rain / Snow")</f>
        <v>Light Rain / Snow</v>
      </c>
    </row>
    <row r="108" spans="1:23" x14ac:dyDescent="0.3">
      <c r="A108">
        <v>107</v>
      </c>
      <c r="B108" s="1">
        <v>40650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>
        <v>0.45666699999999999</v>
      </c>
      <c r="K108">
        <v>0.44569599999999998</v>
      </c>
      <c r="L108">
        <v>0.47958299999999998</v>
      </c>
      <c r="M108">
        <v>0.30349599999999999</v>
      </c>
      <c r="N108">
        <v>1558</v>
      </c>
      <c r="O108">
        <v>2186</v>
      </c>
      <c r="P108">
        <v>3744</v>
      </c>
      <c r="Q108" t="str">
        <f>IF(BikeData[[#This Row],[casual]]+BikeData[[#This Row],[registered]]=BikeData[[#This Row],[cnt]],"OK","Check")</f>
        <v>OK</v>
      </c>
      <c r="R108">
        <f>IF(BikeData[[#This Row],[yr]]=0,2011,2012)</f>
        <v>2011</v>
      </c>
      <c r="S108" t="str">
        <f>CHOOSE(BikeData[[#This Row],[season]],"Winter","Spring","Summer","Fall")</f>
        <v>Spring</v>
      </c>
      <c r="T108" t="str">
        <f>TEXT(DATE(2000,BikeData[[#This Row],[mnth]],1),"mmmm")</f>
        <v>April</v>
      </c>
      <c r="U108" t="str">
        <f>IF(BikeData[[#This Row],[workingday]]=1,"Working Day","Non-working Day")</f>
        <v>Non-working Day</v>
      </c>
      <c r="V108" t="str">
        <f>CHOOSE(BikeData[[#This Row],[weekday]]+1,"Sunday","Monday","Tuesday","Wednesday","Thursday","Friday","Saturday")</f>
        <v>Sunday</v>
      </c>
      <c r="W108" t="str">
        <f>CHOOSE(BikeData[[#This Row],[weathersit]],"Clear / Few Clouds","Mist / Cloudy","Light Rain / Snow","Heavy Rain / Snow")</f>
        <v>Clear / Few Clouds</v>
      </c>
    </row>
    <row r="109" spans="1:23" x14ac:dyDescent="0.3">
      <c r="A109">
        <v>108</v>
      </c>
      <c r="B109" s="1">
        <v>40651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>
        <v>0.51249999999999996</v>
      </c>
      <c r="K109">
        <v>0.50314599999999998</v>
      </c>
      <c r="L109">
        <v>0.54249999999999998</v>
      </c>
      <c r="M109">
        <v>0.16356699999999999</v>
      </c>
      <c r="N109">
        <v>669</v>
      </c>
      <c r="O109">
        <v>2760</v>
      </c>
      <c r="P109">
        <v>3429</v>
      </c>
      <c r="Q109" t="str">
        <f>IF(BikeData[[#This Row],[casual]]+BikeData[[#This Row],[registered]]=BikeData[[#This Row],[cnt]],"OK","Check")</f>
        <v>OK</v>
      </c>
      <c r="R109">
        <f>IF(BikeData[[#This Row],[yr]]=0,2011,2012)</f>
        <v>2011</v>
      </c>
      <c r="S109" t="str">
        <f>CHOOSE(BikeData[[#This Row],[season]],"Winter","Spring","Summer","Fall")</f>
        <v>Spring</v>
      </c>
      <c r="T109" t="str">
        <f>TEXT(DATE(2000,BikeData[[#This Row],[mnth]],1),"mmmm")</f>
        <v>April</v>
      </c>
      <c r="U109" t="str">
        <f>IF(BikeData[[#This Row],[workingday]]=1,"Working Day","Non-working Day")</f>
        <v>Working Day</v>
      </c>
      <c r="V109" t="str">
        <f>CHOOSE(BikeData[[#This Row],[weekday]]+1,"Sunday","Monday","Tuesday","Wednesday","Thursday","Friday","Saturday")</f>
        <v>Monday</v>
      </c>
      <c r="W109" t="str">
        <f>CHOOSE(BikeData[[#This Row],[weathersit]],"Clear / Few Clouds","Mist / Cloudy","Light Rain / Snow","Heavy Rain / Snow")</f>
        <v>Clear / Few Clouds</v>
      </c>
    </row>
    <row r="110" spans="1:23" x14ac:dyDescent="0.3">
      <c r="A110">
        <v>109</v>
      </c>
      <c r="B110" s="1">
        <v>40652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>
        <v>0.50583299999999998</v>
      </c>
      <c r="K110">
        <v>0.48925800000000003</v>
      </c>
      <c r="L110">
        <v>0.66583300000000001</v>
      </c>
      <c r="M110">
        <v>0.157971</v>
      </c>
      <c r="N110">
        <v>409</v>
      </c>
      <c r="O110">
        <v>2795</v>
      </c>
      <c r="P110">
        <v>3204</v>
      </c>
      <c r="Q110" t="str">
        <f>IF(BikeData[[#This Row],[casual]]+BikeData[[#This Row],[registered]]=BikeData[[#This Row],[cnt]],"OK","Check")</f>
        <v>OK</v>
      </c>
      <c r="R110">
        <f>IF(BikeData[[#This Row],[yr]]=0,2011,2012)</f>
        <v>2011</v>
      </c>
      <c r="S110" t="str">
        <f>CHOOSE(BikeData[[#This Row],[season]],"Winter","Spring","Summer","Fall")</f>
        <v>Spring</v>
      </c>
      <c r="T110" t="str">
        <f>TEXT(DATE(2000,BikeData[[#This Row],[mnth]],1),"mmmm")</f>
        <v>April</v>
      </c>
      <c r="U110" t="str">
        <f>IF(BikeData[[#This Row],[workingday]]=1,"Working Day","Non-working Day")</f>
        <v>Working Day</v>
      </c>
      <c r="V110" t="str">
        <f>CHOOSE(BikeData[[#This Row],[weekday]]+1,"Sunday","Monday","Tuesday","Wednesday","Thursday","Friday","Saturday")</f>
        <v>Tuesday</v>
      </c>
      <c r="W110" t="str">
        <f>CHOOSE(BikeData[[#This Row],[weathersit]],"Clear / Few Clouds","Mist / Cloudy","Light Rain / Snow","Heavy Rain / Snow")</f>
        <v>Mist / Cloudy</v>
      </c>
    </row>
    <row r="111" spans="1:23" x14ac:dyDescent="0.3">
      <c r="A111">
        <v>110</v>
      </c>
      <c r="B111" s="1">
        <v>40653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>
        <v>0.59499999999999997</v>
      </c>
      <c r="K111">
        <v>0.564392</v>
      </c>
      <c r="L111">
        <v>0.61416700000000002</v>
      </c>
      <c r="M111">
        <v>0.241925</v>
      </c>
      <c r="N111">
        <v>613</v>
      </c>
      <c r="O111">
        <v>3331</v>
      </c>
      <c r="P111">
        <v>3944</v>
      </c>
      <c r="Q111" t="str">
        <f>IF(BikeData[[#This Row],[casual]]+BikeData[[#This Row],[registered]]=BikeData[[#This Row],[cnt]],"OK","Check")</f>
        <v>OK</v>
      </c>
      <c r="R111">
        <f>IF(BikeData[[#This Row],[yr]]=0,2011,2012)</f>
        <v>2011</v>
      </c>
      <c r="S111" t="str">
        <f>CHOOSE(BikeData[[#This Row],[season]],"Winter","Spring","Summer","Fall")</f>
        <v>Spring</v>
      </c>
      <c r="T111" t="str">
        <f>TEXT(DATE(2000,BikeData[[#This Row],[mnth]],1),"mmmm")</f>
        <v>April</v>
      </c>
      <c r="U111" t="str">
        <f>IF(BikeData[[#This Row],[workingday]]=1,"Working Day","Non-working Day")</f>
        <v>Working Day</v>
      </c>
      <c r="V111" t="str">
        <f>CHOOSE(BikeData[[#This Row],[weekday]]+1,"Sunday","Monday","Tuesday","Wednesday","Thursday","Friday","Saturday")</f>
        <v>Wednesday</v>
      </c>
      <c r="W111" t="str">
        <f>CHOOSE(BikeData[[#This Row],[weathersit]],"Clear / Few Clouds","Mist / Cloudy","Light Rain / Snow","Heavy Rain / Snow")</f>
        <v>Clear / Few Clouds</v>
      </c>
    </row>
    <row r="112" spans="1:23" x14ac:dyDescent="0.3">
      <c r="A112">
        <v>111</v>
      </c>
      <c r="B112" s="1">
        <v>40654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>
        <v>0.45916699999999999</v>
      </c>
      <c r="K112">
        <v>0.45389200000000002</v>
      </c>
      <c r="L112">
        <v>0.40708299999999997</v>
      </c>
      <c r="M112">
        <v>0.32525799999999999</v>
      </c>
      <c r="N112">
        <v>745</v>
      </c>
      <c r="O112">
        <v>3444</v>
      </c>
      <c r="P112">
        <v>4189</v>
      </c>
      <c r="Q112" t="str">
        <f>IF(BikeData[[#This Row],[casual]]+BikeData[[#This Row],[registered]]=BikeData[[#This Row],[cnt]],"OK","Check")</f>
        <v>OK</v>
      </c>
      <c r="R112">
        <f>IF(BikeData[[#This Row],[yr]]=0,2011,2012)</f>
        <v>2011</v>
      </c>
      <c r="S112" t="str">
        <f>CHOOSE(BikeData[[#This Row],[season]],"Winter","Spring","Summer","Fall")</f>
        <v>Spring</v>
      </c>
      <c r="T112" t="str">
        <f>TEXT(DATE(2000,BikeData[[#This Row],[mnth]],1),"mmmm")</f>
        <v>April</v>
      </c>
      <c r="U112" t="str">
        <f>IF(BikeData[[#This Row],[workingday]]=1,"Working Day","Non-working Day")</f>
        <v>Working Day</v>
      </c>
      <c r="V112" t="str">
        <f>CHOOSE(BikeData[[#This Row],[weekday]]+1,"Sunday","Monday","Tuesday","Wednesday","Thursday","Friday","Saturday")</f>
        <v>Thursday</v>
      </c>
      <c r="W112" t="str">
        <f>CHOOSE(BikeData[[#This Row],[weathersit]],"Clear / Few Clouds","Mist / Cloudy","Light Rain / Snow","Heavy Rain / Snow")</f>
        <v>Clear / Few Clouds</v>
      </c>
    </row>
    <row r="113" spans="1:23" x14ac:dyDescent="0.3">
      <c r="A113">
        <v>112</v>
      </c>
      <c r="B113" s="1">
        <v>40655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>
        <v>0.33666699999999999</v>
      </c>
      <c r="K113">
        <v>0.32195400000000002</v>
      </c>
      <c r="L113">
        <v>0.72958299999999998</v>
      </c>
      <c r="M113">
        <v>0.21952099999999999</v>
      </c>
      <c r="N113">
        <v>177</v>
      </c>
      <c r="O113">
        <v>1506</v>
      </c>
      <c r="P113">
        <v>1683</v>
      </c>
      <c r="Q113" t="str">
        <f>IF(BikeData[[#This Row],[casual]]+BikeData[[#This Row],[registered]]=BikeData[[#This Row],[cnt]],"OK","Check")</f>
        <v>OK</v>
      </c>
      <c r="R113">
        <f>IF(BikeData[[#This Row],[yr]]=0,2011,2012)</f>
        <v>2011</v>
      </c>
      <c r="S113" t="str">
        <f>CHOOSE(BikeData[[#This Row],[season]],"Winter","Spring","Summer","Fall")</f>
        <v>Spring</v>
      </c>
      <c r="T113" t="str">
        <f>TEXT(DATE(2000,BikeData[[#This Row],[mnth]],1),"mmmm")</f>
        <v>April</v>
      </c>
      <c r="U113" t="str">
        <f>IF(BikeData[[#This Row],[workingday]]=1,"Working Day","Non-working Day")</f>
        <v>Working Day</v>
      </c>
      <c r="V113" t="str">
        <f>CHOOSE(BikeData[[#This Row],[weekday]]+1,"Sunday","Monday","Tuesday","Wednesday","Thursday","Friday","Saturday")</f>
        <v>Friday</v>
      </c>
      <c r="W113" t="str">
        <f>CHOOSE(BikeData[[#This Row],[weathersit]],"Clear / Few Clouds","Mist / Cloudy","Light Rain / Snow","Heavy Rain / Snow")</f>
        <v>Mist / Cloudy</v>
      </c>
    </row>
    <row r="114" spans="1:23" x14ac:dyDescent="0.3">
      <c r="A114">
        <v>113</v>
      </c>
      <c r="B114" s="1">
        <v>40656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>
        <v>0.46</v>
      </c>
      <c r="K114">
        <v>0.45012099999999999</v>
      </c>
      <c r="L114">
        <v>0.88791699999999996</v>
      </c>
      <c r="M114">
        <v>0.23072500000000001</v>
      </c>
      <c r="N114">
        <v>1462</v>
      </c>
      <c r="O114">
        <v>2574</v>
      </c>
      <c r="P114">
        <v>4036</v>
      </c>
      <c r="Q114" t="str">
        <f>IF(BikeData[[#This Row],[casual]]+BikeData[[#This Row],[registered]]=BikeData[[#This Row],[cnt]],"OK","Check")</f>
        <v>OK</v>
      </c>
      <c r="R114">
        <f>IF(BikeData[[#This Row],[yr]]=0,2011,2012)</f>
        <v>2011</v>
      </c>
      <c r="S114" t="str">
        <f>CHOOSE(BikeData[[#This Row],[season]],"Winter","Spring","Summer","Fall")</f>
        <v>Spring</v>
      </c>
      <c r="T114" t="str">
        <f>TEXT(DATE(2000,BikeData[[#This Row],[mnth]],1),"mmmm")</f>
        <v>April</v>
      </c>
      <c r="U114" t="str">
        <f>IF(BikeData[[#This Row],[workingday]]=1,"Working Day","Non-working Day")</f>
        <v>Non-working Day</v>
      </c>
      <c r="V114" t="str">
        <f>CHOOSE(BikeData[[#This Row],[weekday]]+1,"Sunday","Monday","Tuesday","Wednesday","Thursday","Friday","Saturday")</f>
        <v>Saturday</v>
      </c>
      <c r="W114" t="str">
        <f>CHOOSE(BikeData[[#This Row],[weathersit]],"Clear / Few Clouds","Mist / Cloudy","Light Rain / Snow","Heavy Rain / Snow")</f>
        <v>Mist / Cloudy</v>
      </c>
    </row>
    <row r="115" spans="1:23" x14ac:dyDescent="0.3">
      <c r="A115">
        <v>114</v>
      </c>
      <c r="B115" s="1">
        <v>40657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>
        <v>0.58166700000000005</v>
      </c>
      <c r="K115">
        <v>0.551763</v>
      </c>
      <c r="L115">
        <v>0.81083300000000003</v>
      </c>
      <c r="M115">
        <v>0.19217500000000001</v>
      </c>
      <c r="N115">
        <v>1710</v>
      </c>
      <c r="O115">
        <v>2481</v>
      </c>
      <c r="P115">
        <v>4191</v>
      </c>
      <c r="Q115" t="str">
        <f>IF(BikeData[[#This Row],[casual]]+BikeData[[#This Row],[registered]]=BikeData[[#This Row],[cnt]],"OK","Check")</f>
        <v>OK</v>
      </c>
      <c r="R115">
        <f>IF(BikeData[[#This Row],[yr]]=0,2011,2012)</f>
        <v>2011</v>
      </c>
      <c r="S115" t="str">
        <f>CHOOSE(BikeData[[#This Row],[season]],"Winter","Spring","Summer","Fall")</f>
        <v>Spring</v>
      </c>
      <c r="T115" t="str">
        <f>TEXT(DATE(2000,BikeData[[#This Row],[mnth]],1),"mmmm")</f>
        <v>April</v>
      </c>
      <c r="U115" t="str">
        <f>IF(BikeData[[#This Row],[workingday]]=1,"Working Day","Non-working Day")</f>
        <v>Non-working Day</v>
      </c>
      <c r="V115" t="str">
        <f>CHOOSE(BikeData[[#This Row],[weekday]]+1,"Sunday","Monday","Tuesday","Wednesday","Thursday","Friday","Saturday")</f>
        <v>Sunday</v>
      </c>
      <c r="W115" t="str">
        <f>CHOOSE(BikeData[[#This Row],[weathersit]],"Clear / Few Clouds","Mist / Cloudy","Light Rain / Snow","Heavy Rain / Snow")</f>
        <v>Mist / Cloudy</v>
      </c>
    </row>
    <row r="116" spans="1:23" x14ac:dyDescent="0.3">
      <c r="A116">
        <v>115</v>
      </c>
      <c r="B116" s="1">
        <v>40658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>
        <v>0.60666699999999996</v>
      </c>
      <c r="K116">
        <v>0.57450000000000001</v>
      </c>
      <c r="L116">
        <v>0.776667</v>
      </c>
      <c r="M116">
        <v>0.185333</v>
      </c>
      <c r="N116">
        <v>773</v>
      </c>
      <c r="O116">
        <v>3300</v>
      </c>
      <c r="P116">
        <v>4073</v>
      </c>
      <c r="Q116" t="str">
        <f>IF(BikeData[[#This Row],[casual]]+BikeData[[#This Row],[registered]]=BikeData[[#This Row],[cnt]],"OK","Check")</f>
        <v>OK</v>
      </c>
      <c r="R116">
        <f>IF(BikeData[[#This Row],[yr]]=0,2011,2012)</f>
        <v>2011</v>
      </c>
      <c r="S116" t="str">
        <f>CHOOSE(BikeData[[#This Row],[season]],"Winter","Spring","Summer","Fall")</f>
        <v>Spring</v>
      </c>
      <c r="T116" t="str">
        <f>TEXT(DATE(2000,BikeData[[#This Row],[mnth]],1),"mmmm")</f>
        <v>April</v>
      </c>
      <c r="U116" t="str">
        <f>IF(BikeData[[#This Row],[workingday]]=1,"Working Day","Non-working Day")</f>
        <v>Working Day</v>
      </c>
      <c r="V116" t="str">
        <f>CHOOSE(BikeData[[#This Row],[weekday]]+1,"Sunday","Monday","Tuesday","Wednesday","Thursday","Friday","Saturday")</f>
        <v>Monday</v>
      </c>
      <c r="W116" t="str">
        <f>CHOOSE(BikeData[[#This Row],[weathersit]],"Clear / Few Clouds","Mist / Cloudy","Light Rain / Snow","Heavy Rain / Snow")</f>
        <v>Clear / Few Clouds</v>
      </c>
    </row>
    <row r="117" spans="1:23" x14ac:dyDescent="0.3">
      <c r="A117">
        <v>116</v>
      </c>
      <c r="B117" s="1">
        <v>40659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>
        <v>0.63166699999999998</v>
      </c>
      <c r="K117">
        <v>0.59408300000000003</v>
      </c>
      <c r="L117">
        <v>0.72916700000000001</v>
      </c>
      <c r="M117">
        <v>0.32650000000000001</v>
      </c>
      <c r="N117">
        <v>678</v>
      </c>
      <c r="O117">
        <v>3722</v>
      </c>
      <c r="P117">
        <v>4400</v>
      </c>
      <c r="Q117" t="str">
        <f>IF(BikeData[[#This Row],[casual]]+BikeData[[#This Row],[registered]]=BikeData[[#This Row],[cnt]],"OK","Check")</f>
        <v>OK</v>
      </c>
      <c r="R117">
        <f>IF(BikeData[[#This Row],[yr]]=0,2011,2012)</f>
        <v>2011</v>
      </c>
      <c r="S117" t="str">
        <f>CHOOSE(BikeData[[#This Row],[season]],"Winter","Spring","Summer","Fall")</f>
        <v>Spring</v>
      </c>
      <c r="T117" t="str">
        <f>TEXT(DATE(2000,BikeData[[#This Row],[mnth]],1),"mmmm")</f>
        <v>April</v>
      </c>
      <c r="U117" t="str">
        <f>IF(BikeData[[#This Row],[workingday]]=1,"Working Day","Non-working Day")</f>
        <v>Working Day</v>
      </c>
      <c r="V117" t="str">
        <f>CHOOSE(BikeData[[#This Row],[weekday]]+1,"Sunday","Monday","Tuesday","Wednesday","Thursday","Friday","Saturday")</f>
        <v>Tuesday</v>
      </c>
      <c r="W117" t="str">
        <f>CHOOSE(BikeData[[#This Row],[weathersit]],"Clear / Few Clouds","Mist / Cloudy","Light Rain / Snow","Heavy Rain / Snow")</f>
        <v>Clear / Few Clouds</v>
      </c>
    </row>
    <row r="118" spans="1:23" x14ac:dyDescent="0.3">
      <c r="A118">
        <v>117</v>
      </c>
      <c r="B118" s="1">
        <v>40660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>
        <v>0.62</v>
      </c>
      <c r="K118">
        <v>0.57514200000000004</v>
      </c>
      <c r="L118">
        <v>0.83541699999999997</v>
      </c>
      <c r="M118">
        <v>0.31219999999999998</v>
      </c>
      <c r="N118">
        <v>547</v>
      </c>
      <c r="O118">
        <v>3325</v>
      </c>
      <c r="P118">
        <v>3872</v>
      </c>
      <c r="Q118" t="str">
        <f>IF(BikeData[[#This Row],[casual]]+BikeData[[#This Row],[registered]]=BikeData[[#This Row],[cnt]],"OK","Check")</f>
        <v>OK</v>
      </c>
      <c r="R118">
        <f>IF(BikeData[[#This Row],[yr]]=0,2011,2012)</f>
        <v>2011</v>
      </c>
      <c r="S118" t="str">
        <f>CHOOSE(BikeData[[#This Row],[season]],"Winter","Spring","Summer","Fall")</f>
        <v>Spring</v>
      </c>
      <c r="T118" t="str">
        <f>TEXT(DATE(2000,BikeData[[#This Row],[mnth]],1),"mmmm")</f>
        <v>April</v>
      </c>
      <c r="U118" t="str">
        <f>IF(BikeData[[#This Row],[workingday]]=1,"Working Day","Non-working Day")</f>
        <v>Working Day</v>
      </c>
      <c r="V118" t="str">
        <f>CHOOSE(BikeData[[#This Row],[weekday]]+1,"Sunday","Monday","Tuesday","Wednesday","Thursday","Friday","Saturday")</f>
        <v>Wednesday</v>
      </c>
      <c r="W118" t="str">
        <f>CHOOSE(BikeData[[#This Row],[weathersit]],"Clear / Few Clouds","Mist / Cloudy","Light Rain / Snow","Heavy Rain / Snow")</f>
        <v>Mist / Cloudy</v>
      </c>
    </row>
    <row r="119" spans="1:23" x14ac:dyDescent="0.3">
      <c r="A119">
        <v>118</v>
      </c>
      <c r="B119" s="1">
        <v>40661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>
        <v>0.61750000000000005</v>
      </c>
      <c r="K119">
        <v>0.57892900000000003</v>
      </c>
      <c r="L119">
        <v>0.70083300000000004</v>
      </c>
      <c r="M119">
        <v>0.32090800000000003</v>
      </c>
      <c r="N119">
        <v>569</v>
      </c>
      <c r="O119">
        <v>3489</v>
      </c>
      <c r="P119">
        <v>4058</v>
      </c>
      <c r="Q119" t="str">
        <f>IF(BikeData[[#This Row],[casual]]+BikeData[[#This Row],[registered]]=BikeData[[#This Row],[cnt]],"OK","Check")</f>
        <v>OK</v>
      </c>
      <c r="R119">
        <f>IF(BikeData[[#This Row],[yr]]=0,2011,2012)</f>
        <v>2011</v>
      </c>
      <c r="S119" t="str">
        <f>CHOOSE(BikeData[[#This Row],[season]],"Winter","Spring","Summer","Fall")</f>
        <v>Spring</v>
      </c>
      <c r="T119" t="str">
        <f>TEXT(DATE(2000,BikeData[[#This Row],[mnth]],1),"mmmm")</f>
        <v>April</v>
      </c>
      <c r="U119" t="str">
        <f>IF(BikeData[[#This Row],[workingday]]=1,"Working Day","Non-working Day")</f>
        <v>Working Day</v>
      </c>
      <c r="V119" t="str">
        <f>CHOOSE(BikeData[[#This Row],[weekday]]+1,"Sunday","Monday","Tuesday","Wednesday","Thursday","Friday","Saturday")</f>
        <v>Thursday</v>
      </c>
      <c r="W119" t="str">
        <f>CHOOSE(BikeData[[#This Row],[weathersit]],"Clear / Few Clouds","Mist / Cloudy","Light Rain / Snow","Heavy Rain / Snow")</f>
        <v>Mist / Cloudy</v>
      </c>
    </row>
    <row r="120" spans="1:23" x14ac:dyDescent="0.3">
      <c r="A120">
        <v>119</v>
      </c>
      <c r="B120" s="1">
        <v>40662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>
        <v>0.51</v>
      </c>
      <c r="K120">
        <v>0.49746299999999999</v>
      </c>
      <c r="L120">
        <v>0.45708300000000002</v>
      </c>
      <c r="M120">
        <v>0.240063</v>
      </c>
      <c r="N120">
        <v>878</v>
      </c>
      <c r="O120">
        <v>3717</v>
      </c>
      <c r="P120">
        <v>4595</v>
      </c>
      <c r="Q120" t="str">
        <f>IF(BikeData[[#This Row],[casual]]+BikeData[[#This Row],[registered]]=BikeData[[#This Row],[cnt]],"OK","Check")</f>
        <v>OK</v>
      </c>
      <c r="R120">
        <f>IF(BikeData[[#This Row],[yr]]=0,2011,2012)</f>
        <v>2011</v>
      </c>
      <c r="S120" t="str">
        <f>CHOOSE(BikeData[[#This Row],[season]],"Winter","Spring","Summer","Fall")</f>
        <v>Spring</v>
      </c>
      <c r="T120" t="str">
        <f>TEXT(DATE(2000,BikeData[[#This Row],[mnth]],1),"mmmm")</f>
        <v>April</v>
      </c>
      <c r="U120" t="str">
        <f>IF(BikeData[[#This Row],[workingday]]=1,"Working Day","Non-working Day")</f>
        <v>Working Day</v>
      </c>
      <c r="V120" t="str">
        <f>CHOOSE(BikeData[[#This Row],[weekday]]+1,"Sunday","Monday","Tuesday","Wednesday","Thursday","Friday","Saturday")</f>
        <v>Friday</v>
      </c>
      <c r="W120" t="str">
        <f>CHOOSE(BikeData[[#This Row],[weathersit]],"Clear / Few Clouds","Mist / Cloudy","Light Rain / Snow","Heavy Rain / Snow")</f>
        <v>Clear / Few Clouds</v>
      </c>
    </row>
    <row r="121" spans="1:23" x14ac:dyDescent="0.3">
      <c r="A121">
        <v>120</v>
      </c>
      <c r="B121" s="1">
        <v>40663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>
        <v>0.47249999999999998</v>
      </c>
      <c r="K121">
        <v>0.46402100000000002</v>
      </c>
      <c r="L121">
        <v>0.50333300000000003</v>
      </c>
      <c r="M121">
        <v>0.23507500000000001</v>
      </c>
      <c r="N121">
        <v>1965</v>
      </c>
      <c r="O121">
        <v>3347</v>
      </c>
      <c r="P121">
        <v>5312</v>
      </c>
      <c r="Q121" t="str">
        <f>IF(BikeData[[#This Row],[casual]]+BikeData[[#This Row],[registered]]=BikeData[[#This Row],[cnt]],"OK","Check")</f>
        <v>OK</v>
      </c>
      <c r="R121">
        <f>IF(BikeData[[#This Row],[yr]]=0,2011,2012)</f>
        <v>2011</v>
      </c>
      <c r="S121" t="str">
        <f>CHOOSE(BikeData[[#This Row],[season]],"Winter","Spring","Summer","Fall")</f>
        <v>Spring</v>
      </c>
      <c r="T121" t="str">
        <f>TEXT(DATE(2000,BikeData[[#This Row],[mnth]],1),"mmmm")</f>
        <v>April</v>
      </c>
      <c r="U121" t="str">
        <f>IF(BikeData[[#This Row],[workingday]]=1,"Working Day","Non-working Day")</f>
        <v>Non-working Day</v>
      </c>
      <c r="V121" t="str">
        <f>CHOOSE(BikeData[[#This Row],[weekday]]+1,"Sunday","Monday","Tuesday","Wednesday","Thursday","Friday","Saturday")</f>
        <v>Saturday</v>
      </c>
      <c r="W121" t="str">
        <f>CHOOSE(BikeData[[#This Row],[weathersit]],"Clear / Few Clouds","Mist / Cloudy","Light Rain / Snow","Heavy Rain / Snow")</f>
        <v>Clear / Few Clouds</v>
      </c>
    </row>
    <row r="122" spans="1:23" x14ac:dyDescent="0.3">
      <c r="A122">
        <v>121</v>
      </c>
      <c r="B122" s="1">
        <v>40664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>
        <v>0.45166699999999999</v>
      </c>
      <c r="K122">
        <v>0.44820399999999999</v>
      </c>
      <c r="L122">
        <v>0.76208299999999995</v>
      </c>
      <c r="M122">
        <v>0.106354</v>
      </c>
      <c r="N122">
        <v>1138</v>
      </c>
      <c r="O122">
        <v>2213</v>
      </c>
      <c r="P122">
        <v>3351</v>
      </c>
      <c r="Q122" t="str">
        <f>IF(BikeData[[#This Row],[casual]]+BikeData[[#This Row],[registered]]=BikeData[[#This Row],[cnt]],"OK","Check")</f>
        <v>OK</v>
      </c>
      <c r="R122">
        <f>IF(BikeData[[#This Row],[yr]]=0,2011,2012)</f>
        <v>2011</v>
      </c>
      <c r="S122" t="str">
        <f>CHOOSE(BikeData[[#This Row],[season]],"Winter","Spring","Summer","Fall")</f>
        <v>Spring</v>
      </c>
      <c r="T122" t="str">
        <f>TEXT(DATE(2000,BikeData[[#This Row],[mnth]],1),"mmmm")</f>
        <v>May</v>
      </c>
      <c r="U122" t="str">
        <f>IF(BikeData[[#This Row],[workingday]]=1,"Working Day","Non-working Day")</f>
        <v>Non-working Day</v>
      </c>
      <c r="V122" t="str">
        <f>CHOOSE(BikeData[[#This Row],[weekday]]+1,"Sunday","Monday","Tuesday","Wednesday","Thursday","Friday","Saturday")</f>
        <v>Sunday</v>
      </c>
      <c r="W122" t="str">
        <f>CHOOSE(BikeData[[#This Row],[weathersit]],"Clear / Few Clouds","Mist / Cloudy","Light Rain / Snow","Heavy Rain / Snow")</f>
        <v>Mist / Cloudy</v>
      </c>
    </row>
    <row r="123" spans="1:23" x14ac:dyDescent="0.3">
      <c r="A123">
        <v>122</v>
      </c>
      <c r="B123" s="1">
        <v>40665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>
        <v>0.54916699999999996</v>
      </c>
      <c r="K123">
        <v>0.532833</v>
      </c>
      <c r="L123">
        <v>0.73</v>
      </c>
      <c r="M123">
        <v>0.18345400000000001</v>
      </c>
      <c r="N123">
        <v>847</v>
      </c>
      <c r="O123">
        <v>3554</v>
      </c>
      <c r="P123">
        <v>4401</v>
      </c>
      <c r="Q123" t="str">
        <f>IF(BikeData[[#This Row],[casual]]+BikeData[[#This Row],[registered]]=BikeData[[#This Row],[cnt]],"OK","Check")</f>
        <v>OK</v>
      </c>
      <c r="R123">
        <f>IF(BikeData[[#This Row],[yr]]=0,2011,2012)</f>
        <v>2011</v>
      </c>
      <c r="S123" t="str">
        <f>CHOOSE(BikeData[[#This Row],[season]],"Winter","Spring","Summer","Fall")</f>
        <v>Spring</v>
      </c>
      <c r="T123" t="str">
        <f>TEXT(DATE(2000,BikeData[[#This Row],[mnth]],1),"mmmm")</f>
        <v>May</v>
      </c>
      <c r="U123" t="str">
        <f>IF(BikeData[[#This Row],[workingday]]=1,"Working Day","Non-working Day")</f>
        <v>Working Day</v>
      </c>
      <c r="V123" t="str">
        <f>CHOOSE(BikeData[[#This Row],[weekday]]+1,"Sunday","Monday","Tuesday","Wednesday","Thursday","Friday","Saturday")</f>
        <v>Monday</v>
      </c>
      <c r="W123" t="str">
        <f>CHOOSE(BikeData[[#This Row],[weathersit]],"Clear / Few Clouds","Mist / Cloudy","Light Rain / Snow","Heavy Rain / Snow")</f>
        <v>Mist / Cloudy</v>
      </c>
    </row>
    <row r="124" spans="1:23" x14ac:dyDescent="0.3">
      <c r="A124">
        <v>123</v>
      </c>
      <c r="B124" s="1">
        <v>40666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>
        <v>0.61666699999999997</v>
      </c>
      <c r="K124">
        <v>0.58207900000000001</v>
      </c>
      <c r="L124">
        <v>0.69708300000000001</v>
      </c>
      <c r="M124">
        <v>0.342667</v>
      </c>
      <c r="N124">
        <v>603</v>
      </c>
      <c r="O124">
        <v>3848</v>
      </c>
      <c r="P124">
        <v>4451</v>
      </c>
      <c r="Q124" t="str">
        <f>IF(BikeData[[#This Row],[casual]]+BikeData[[#This Row],[registered]]=BikeData[[#This Row],[cnt]],"OK","Check")</f>
        <v>OK</v>
      </c>
      <c r="R124">
        <f>IF(BikeData[[#This Row],[yr]]=0,2011,2012)</f>
        <v>2011</v>
      </c>
      <c r="S124" t="str">
        <f>CHOOSE(BikeData[[#This Row],[season]],"Winter","Spring","Summer","Fall")</f>
        <v>Spring</v>
      </c>
      <c r="T124" t="str">
        <f>TEXT(DATE(2000,BikeData[[#This Row],[mnth]],1),"mmmm")</f>
        <v>May</v>
      </c>
      <c r="U124" t="str">
        <f>IF(BikeData[[#This Row],[workingday]]=1,"Working Day","Non-working Day")</f>
        <v>Working Day</v>
      </c>
      <c r="V124" t="str">
        <f>CHOOSE(BikeData[[#This Row],[weekday]]+1,"Sunday","Monday","Tuesday","Wednesday","Thursday","Friday","Saturday")</f>
        <v>Tuesday</v>
      </c>
      <c r="W124" t="str">
        <f>CHOOSE(BikeData[[#This Row],[weathersit]],"Clear / Few Clouds","Mist / Cloudy","Light Rain / Snow","Heavy Rain / Snow")</f>
        <v>Mist / Cloudy</v>
      </c>
    </row>
    <row r="125" spans="1:23" x14ac:dyDescent="0.3">
      <c r="A125">
        <v>124</v>
      </c>
      <c r="B125" s="1">
        <v>40667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>
        <v>0.41416700000000001</v>
      </c>
      <c r="K125">
        <v>0.40465000000000001</v>
      </c>
      <c r="L125">
        <v>0.73708300000000004</v>
      </c>
      <c r="M125">
        <v>0.32899600000000001</v>
      </c>
      <c r="N125">
        <v>255</v>
      </c>
      <c r="O125">
        <v>2378</v>
      </c>
      <c r="P125">
        <v>2633</v>
      </c>
      <c r="Q125" t="str">
        <f>IF(BikeData[[#This Row],[casual]]+BikeData[[#This Row],[registered]]=BikeData[[#This Row],[cnt]],"OK","Check")</f>
        <v>OK</v>
      </c>
      <c r="R125">
        <f>IF(BikeData[[#This Row],[yr]]=0,2011,2012)</f>
        <v>2011</v>
      </c>
      <c r="S125" t="str">
        <f>CHOOSE(BikeData[[#This Row],[season]],"Winter","Spring","Summer","Fall")</f>
        <v>Spring</v>
      </c>
      <c r="T125" t="str">
        <f>TEXT(DATE(2000,BikeData[[#This Row],[mnth]],1),"mmmm")</f>
        <v>May</v>
      </c>
      <c r="U125" t="str">
        <f>IF(BikeData[[#This Row],[workingday]]=1,"Working Day","Non-working Day")</f>
        <v>Working Day</v>
      </c>
      <c r="V125" t="str">
        <f>CHOOSE(BikeData[[#This Row],[weekday]]+1,"Sunday","Monday","Tuesday","Wednesday","Thursday","Friday","Saturday")</f>
        <v>Wednesday</v>
      </c>
      <c r="W125" t="str">
        <f>CHOOSE(BikeData[[#This Row],[weathersit]],"Clear / Few Clouds","Mist / Cloudy","Light Rain / Snow","Heavy Rain / Snow")</f>
        <v>Mist / Cloudy</v>
      </c>
    </row>
    <row r="126" spans="1:23" x14ac:dyDescent="0.3">
      <c r="A126">
        <v>125</v>
      </c>
      <c r="B126" s="1">
        <v>40668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>
        <v>0.45916699999999999</v>
      </c>
      <c r="K126">
        <v>0.441917</v>
      </c>
      <c r="L126">
        <v>0.44416699999999998</v>
      </c>
      <c r="M126">
        <v>0.29539199999999999</v>
      </c>
      <c r="N126">
        <v>614</v>
      </c>
      <c r="O126">
        <v>3819</v>
      </c>
      <c r="P126">
        <v>4433</v>
      </c>
      <c r="Q126" t="str">
        <f>IF(BikeData[[#This Row],[casual]]+BikeData[[#This Row],[registered]]=BikeData[[#This Row],[cnt]],"OK","Check")</f>
        <v>OK</v>
      </c>
      <c r="R126">
        <f>IF(BikeData[[#This Row],[yr]]=0,2011,2012)</f>
        <v>2011</v>
      </c>
      <c r="S126" t="str">
        <f>CHOOSE(BikeData[[#This Row],[season]],"Winter","Spring","Summer","Fall")</f>
        <v>Spring</v>
      </c>
      <c r="T126" t="str">
        <f>TEXT(DATE(2000,BikeData[[#This Row],[mnth]],1),"mmmm")</f>
        <v>May</v>
      </c>
      <c r="U126" t="str">
        <f>IF(BikeData[[#This Row],[workingday]]=1,"Working Day","Non-working Day")</f>
        <v>Working Day</v>
      </c>
      <c r="V126" t="str">
        <f>CHOOSE(BikeData[[#This Row],[weekday]]+1,"Sunday","Monday","Tuesday","Wednesday","Thursday","Friday","Saturday")</f>
        <v>Thursday</v>
      </c>
      <c r="W126" t="str">
        <f>CHOOSE(BikeData[[#This Row],[weathersit]],"Clear / Few Clouds","Mist / Cloudy","Light Rain / Snow","Heavy Rain / Snow")</f>
        <v>Clear / Few Clouds</v>
      </c>
    </row>
    <row r="127" spans="1:23" x14ac:dyDescent="0.3">
      <c r="A127">
        <v>126</v>
      </c>
      <c r="B127" s="1">
        <v>40669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>
        <v>0.47916700000000001</v>
      </c>
      <c r="K127">
        <v>0.47411700000000001</v>
      </c>
      <c r="L127">
        <v>0.59</v>
      </c>
      <c r="M127">
        <v>0.228246</v>
      </c>
      <c r="N127">
        <v>894</v>
      </c>
      <c r="O127">
        <v>3714</v>
      </c>
      <c r="P127">
        <v>4608</v>
      </c>
      <c r="Q127" t="str">
        <f>IF(BikeData[[#This Row],[casual]]+BikeData[[#This Row],[registered]]=BikeData[[#This Row],[cnt]],"OK","Check")</f>
        <v>OK</v>
      </c>
      <c r="R127">
        <f>IF(BikeData[[#This Row],[yr]]=0,2011,2012)</f>
        <v>2011</v>
      </c>
      <c r="S127" t="str">
        <f>CHOOSE(BikeData[[#This Row],[season]],"Winter","Spring","Summer","Fall")</f>
        <v>Spring</v>
      </c>
      <c r="T127" t="str">
        <f>TEXT(DATE(2000,BikeData[[#This Row],[mnth]],1),"mmmm")</f>
        <v>May</v>
      </c>
      <c r="U127" t="str">
        <f>IF(BikeData[[#This Row],[workingday]]=1,"Working Day","Non-working Day")</f>
        <v>Working Day</v>
      </c>
      <c r="V127" t="str">
        <f>CHOOSE(BikeData[[#This Row],[weekday]]+1,"Sunday","Monday","Tuesday","Wednesday","Thursday","Friday","Saturday")</f>
        <v>Friday</v>
      </c>
      <c r="W127" t="str">
        <f>CHOOSE(BikeData[[#This Row],[weathersit]],"Clear / Few Clouds","Mist / Cloudy","Light Rain / Snow","Heavy Rain / Snow")</f>
        <v>Clear / Few Clouds</v>
      </c>
    </row>
    <row r="128" spans="1:23" x14ac:dyDescent="0.3">
      <c r="A128">
        <v>127</v>
      </c>
      <c r="B128" s="1">
        <v>40670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>
        <v>0.52</v>
      </c>
      <c r="K128">
        <v>0.51262099999999999</v>
      </c>
      <c r="L128">
        <v>0.54125000000000001</v>
      </c>
      <c r="M128">
        <v>0.16045000000000001</v>
      </c>
      <c r="N128">
        <v>1612</v>
      </c>
      <c r="O128">
        <v>3102</v>
      </c>
      <c r="P128">
        <v>4714</v>
      </c>
      <c r="Q128" t="str">
        <f>IF(BikeData[[#This Row],[casual]]+BikeData[[#This Row],[registered]]=BikeData[[#This Row],[cnt]],"OK","Check")</f>
        <v>OK</v>
      </c>
      <c r="R128">
        <f>IF(BikeData[[#This Row],[yr]]=0,2011,2012)</f>
        <v>2011</v>
      </c>
      <c r="S128" t="str">
        <f>CHOOSE(BikeData[[#This Row],[season]],"Winter","Spring","Summer","Fall")</f>
        <v>Spring</v>
      </c>
      <c r="T128" t="str">
        <f>TEXT(DATE(2000,BikeData[[#This Row],[mnth]],1),"mmmm")</f>
        <v>May</v>
      </c>
      <c r="U128" t="str">
        <f>IF(BikeData[[#This Row],[workingday]]=1,"Working Day","Non-working Day")</f>
        <v>Non-working Day</v>
      </c>
      <c r="V128" t="str">
        <f>CHOOSE(BikeData[[#This Row],[weekday]]+1,"Sunday","Monday","Tuesday","Wednesday","Thursday","Friday","Saturday")</f>
        <v>Saturday</v>
      </c>
      <c r="W128" t="str">
        <f>CHOOSE(BikeData[[#This Row],[weathersit]],"Clear / Few Clouds","Mist / Cloudy","Light Rain / Snow","Heavy Rain / Snow")</f>
        <v>Clear / Few Clouds</v>
      </c>
    </row>
    <row r="129" spans="1:23" x14ac:dyDescent="0.3">
      <c r="A129">
        <v>128</v>
      </c>
      <c r="B129" s="1">
        <v>40671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>
        <v>0.52833300000000005</v>
      </c>
      <c r="K129">
        <v>0.51893299999999998</v>
      </c>
      <c r="L129">
        <v>0.63166699999999998</v>
      </c>
      <c r="M129">
        <v>7.4637499999999996E-2</v>
      </c>
      <c r="N129">
        <v>1401</v>
      </c>
      <c r="O129">
        <v>2932</v>
      </c>
      <c r="P129">
        <v>4333</v>
      </c>
      <c r="Q129" t="str">
        <f>IF(BikeData[[#This Row],[casual]]+BikeData[[#This Row],[registered]]=BikeData[[#This Row],[cnt]],"OK","Check")</f>
        <v>OK</v>
      </c>
      <c r="R129">
        <f>IF(BikeData[[#This Row],[yr]]=0,2011,2012)</f>
        <v>2011</v>
      </c>
      <c r="S129" t="str">
        <f>CHOOSE(BikeData[[#This Row],[season]],"Winter","Spring","Summer","Fall")</f>
        <v>Spring</v>
      </c>
      <c r="T129" t="str">
        <f>TEXT(DATE(2000,BikeData[[#This Row],[mnth]],1),"mmmm")</f>
        <v>May</v>
      </c>
      <c r="U129" t="str">
        <f>IF(BikeData[[#This Row],[workingday]]=1,"Working Day","Non-working Day")</f>
        <v>Non-working Day</v>
      </c>
      <c r="V129" t="str">
        <f>CHOOSE(BikeData[[#This Row],[weekday]]+1,"Sunday","Monday","Tuesday","Wednesday","Thursday","Friday","Saturday")</f>
        <v>Sunday</v>
      </c>
      <c r="W129" t="str">
        <f>CHOOSE(BikeData[[#This Row],[weathersit]],"Clear / Few Clouds","Mist / Cloudy","Light Rain / Snow","Heavy Rain / Snow")</f>
        <v>Clear / Few Clouds</v>
      </c>
    </row>
    <row r="130" spans="1:23" x14ac:dyDescent="0.3">
      <c r="A130">
        <v>129</v>
      </c>
      <c r="B130" s="1">
        <v>40672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>
        <v>0.53249999999999997</v>
      </c>
      <c r="K130">
        <v>0.52524599999999999</v>
      </c>
      <c r="L130">
        <v>0.58875</v>
      </c>
      <c r="M130">
        <v>0.17599999999999999</v>
      </c>
      <c r="N130">
        <v>664</v>
      </c>
      <c r="O130">
        <v>3698</v>
      </c>
      <c r="P130">
        <v>4362</v>
      </c>
      <c r="Q130" t="str">
        <f>IF(BikeData[[#This Row],[casual]]+BikeData[[#This Row],[registered]]=BikeData[[#This Row],[cnt]],"OK","Check")</f>
        <v>OK</v>
      </c>
      <c r="R130">
        <f>IF(BikeData[[#This Row],[yr]]=0,2011,2012)</f>
        <v>2011</v>
      </c>
      <c r="S130" t="str">
        <f>CHOOSE(BikeData[[#This Row],[season]],"Winter","Spring","Summer","Fall")</f>
        <v>Spring</v>
      </c>
      <c r="T130" t="str">
        <f>TEXT(DATE(2000,BikeData[[#This Row],[mnth]],1),"mmmm")</f>
        <v>May</v>
      </c>
      <c r="U130" t="str">
        <f>IF(BikeData[[#This Row],[workingday]]=1,"Working Day","Non-working Day")</f>
        <v>Working Day</v>
      </c>
      <c r="V130" t="str">
        <f>CHOOSE(BikeData[[#This Row],[weekday]]+1,"Sunday","Monday","Tuesday","Wednesday","Thursday","Friday","Saturday")</f>
        <v>Monday</v>
      </c>
      <c r="W130" t="str">
        <f>CHOOSE(BikeData[[#This Row],[weathersit]],"Clear / Few Clouds","Mist / Cloudy","Light Rain / Snow","Heavy Rain / Snow")</f>
        <v>Clear / Few Clouds</v>
      </c>
    </row>
    <row r="131" spans="1:23" x14ac:dyDescent="0.3">
      <c r="A131">
        <v>130</v>
      </c>
      <c r="B131" s="1">
        <v>40673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>
        <v>0.53249999999999997</v>
      </c>
      <c r="K131">
        <v>0.52272099999999999</v>
      </c>
      <c r="L131">
        <v>0.48916700000000002</v>
      </c>
      <c r="M131">
        <v>0.115671</v>
      </c>
      <c r="N131">
        <v>694</v>
      </c>
      <c r="O131">
        <v>4109</v>
      </c>
      <c r="P131">
        <v>4803</v>
      </c>
      <c r="Q131" t="str">
        <f>IF(BikeData[[#This Row],[casual]]+BikeData[[#This Row],[registered]]=BikeData[[#This Row],[cnt]],"OK","Check")</f>
        <v>OK</v>
      </c>
      <c r="R131">
        <f>IF(BikeData[[#This Row],[yr]]=0,2011,2012)</f>
        <v>2011</v>
      </c>
      <c r="S131" t="str">
        <f>CHOOSE(BikeData[[#This Row],[season]],"Winter","Spring","Summer","Fall")</f>
        <v>Spring</v>
      </c>
      <c r="T131" t="str">
        <f>TEXT(DATE(2000,BikeData[[#This Row],[mnth]],1),"mmmm")</f>
        <v>May</v>
      </c>
      <c r="U131" t="str">
        <f>IF(BikeData[[#This Row],[workingday]]=1,"Working Day","Non-working Day")</f>
        <v>Working Day</v>
      </c>
      <c r="V131" t="str">
        <f>CHOOSE(BikeData[[#This Row],[weekday]]+1,"Sunday","Monday","Tuesday","Wednesday","Thursday","Friday","Saturday")</f>
        <v>Tuesday</v>
      </c>
      <c r="W131" t="str">
        <f>CHOOSE(BikeData[[#This Row],[weathersit]],"Clear / Few Clouds","Mist / Cloudy","Light Rain / Snow","Heavy Rain / Snow")</f>
        <v>Clear / Few Clouds</v>
      </c>
    </row>
    <row r="132" spans="1:23" x14ac:dyDescent="0.3">
      <c r="A132">
        <v>131</v>
      </c>
      <c r="B132" s="1">
        <v>40674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>
        <v>0.54249999999999998</v>
      </c>
      <c r="K132">
        <v>0.52839999999999998</v>
      </c>
      <c r="L132">
        <v>0.63291699999999995</v>
      </c>
      <c r="M132">
        <v>0.120642</v>
      </c>
      <c r="N132">
        <v>550</v>
      </c>
      <c r="O132">
        <v>3632</v>
      </c>
      <c r="P132">
        <v>4182</v>
      </c>
      <c r="Q132" t="str">
        <f>IF(BikeData[[#This Row],[casual]]+BikeData[[#This Row],[registered]]=BikeData[[#This Row],[cnt]],"OK","Check")</f>
        <v>OK</v>
      </c>
      <c r="R132">
        <f>IF(BikeData[[#This Row],[yr]]=0,2011,2012)</f>
        <v>2011</v>
      </c>
      <c r="S132" t="str">
        <f>CHOOSE(BikeData[[#This Row],[season]],"Winter","Spring","Summer","Fall")</f>
        <v>Spring</v>
      </c>
      <c r="T132" t="str">
        <f>TEXT(DATE(2000,BikeData[[#This Row],[mnth]],1),"mmmm")</f>
        <v>May</v>
      </c>
      <c r="U132" t="str">
        <f>IF(BikeData[[#This Row],[workingday]]=1,"Working Day","Non-working Day")</f>
        <v>Working Day</v>
      </c>
      <c r="V132" t="str">
        <f>CHOOSE(BikeData[[#This Row],[weekday]]+1,"Sunday","Monday","Tuesday","Wednesday","Thursday","Friday","Saturday")</f>
        <v>Wednesday</v>
      </c>
      <c r="W132" t="str">
        <f>CHOOSE(BikeData[[#This Row],[weathersit]],"Clear / Few Clouds","Mist / Cloudy","Light Rain / Snow","Heavy Rain / Snow")</f>
        <v>Clear / Few Clouds</v>
      </c>
    </row>
    <row r="133" spans="1:23" x14ac:dyDescent="0.3">
      <c r="A133">
        <v>132</v>
      </c>
      <c r="B133" s="1">
        <v>40675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>
        <v>0.53500000000000003</v>
      </c>
      <c r="K133">
        <v>0.52336300000000002</v>
      </c>
      <c r="L133">
        <v>0.74750000000000005</v>
      </c>
      <c r="M133">
        <v>0.189667</v>
      </c>
      <c r="N133">
        <v>695</v>
      </c>
      <c r="O133">
        <v>4169</v>
      </c>
      <c r="P133">
        <v>4864</v>
      </c>
      <c r="Q133" t="str">
        <f>IF(BikeData[[#This Row],[casual]]+BikeData[[#This Row],[registered]]=BikeData[[#This Row],[cnt]],"OK","Check")</f>
        <v>OK</v>
      </c>
      <c r="R133">
        <f>IF(BikeData[[#This Row],[yr]]=0,2011,2012)</f>
        <v>2011</v>
      </c>
      <c r="S133" t="str">
        <f>CHOOSE(BikeData[[#This Row],[season]],"Winter","Spring","Summer","Fall")</f>
        <v>Spring</v>
      </c>
      <c r="T133" t="str">
        <f>TEXT(DATE(2000,BikeData[[#This Row],[mnth]],1),"mmmm")</f>
        <v>May</v>
      </c>
      <c r="U133" t="str">
        <f>IF(BikeData[[#This Row],[workingday]]=1,"Working Day","Non-working Day")</f>
        <v>Working Day</v>
      </c>
      <c r="V133" t="str">
        <f>CHOOSE(BikeData[[#This Row],[weekday]]+1,"Sunday","Monday","Tuesday","Wednesday","Thursday","Friday","Saturday")</f>
        <v>Thursday</v>
      </c>
      <c r="W133" t="str">
        <f>CHOOSE(BikeData[[#This Row],[weathersit]],"Clear / Few Clouds","Mist / Cloudy","Light Rain / Snow","Heavy Rain / Snow")</f>
        <v>Clear / Few Clouds</v>
      </c>
    </row>
    <row r="134" spans="1:23" x14ac:dyDescent="0.3">
      <c r="A134">
        <v>133</v>
      </c>
      <c r="B134" s="1">
        <v>40676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>
        <v>0.51249999999999996</v>
      </c>
      <c r="K134">
        <v>0.49430000000000002</v>
      </c>
      <c r="L134">
        <v>0.86333300000000002</v>
      </c>
      <c r="M134">
        <v>0.179725</v>
      </c>
      <c r="N134">
        <v>692</v>
      </c>
      <c r="O134">
        <v>3413</v>
      </c>
      <c r="P134">
        <v>4105</v>
      </c>
      <c r="Q134" t="str">
        <f>IF(BikeData[[#This Row],[casual]]+BikeData[[#This Row],[registered]]=BikeData[[#This Row],[cnt]],"OK","Check")</f>
        <v>OK</v>
      </c>
      <c r="R134">
        <f>IF(BikeData[[#This Row],[yr]]=0,2011,2012)</f>
        <v>2011</v>
      </c>
      <c r="S134" t="str">
        <f>CHOOSE(BikeData[[#This Row],[season]],"Winter","Spring","Summer","Fall")</f>
        <v>Spring</v>
      </c>
      <c r="T134" t="str">
        <f>TEXT(DATE(2000,BikeData[[#This Row],[mnth]],1),"mmmm")</f>
        <v>May</v>
      </c>
      <c r="U134" t="str">
        <f>IF(BikeData[[#This Row],[workingday]]=1,"Working Day","Non-working Day")</f>
        <v>Working Day</v>
      </c>
      <c r="V134" t="str">
        <f>CHOOSE(BikeData[[#This Row],[weekday]]+1,"Sunday","Monday","Tuesday","Wednesday","Thursday","Friday","Saturday")</f>
        <v>Friday</v>
      </c>
      <c r="W134" t="str">
        <f>CHOOSE(BikeData[[#This Row],[weathersit]],"Clear / Few Clouds","Mist / Cloudy","Light Rain / Snow","Heavy Rain / Snow")</f>
        <v>Mist / Cloudy</v>
      </c>
    </row>
    <row r="135" spans="1:23" x14ac:dyDescent="0.3">
      <c r="A135">
        <v>134</v>
      </c>
      <c r="B135" s="1">
        <v>40677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>
        <v>0.52083299999999999</v>
      </c>
      <c r="K135">
        <v>0.50062899999999999</v>
      </c>
      <c r="L135">
        <v>0.92249999999999999</v>
      </c>
      <c r="M135">
        <v>0.13494999999999999</v>
      </c>
      <c r="N135">
        <v>902</v>
      </c>
      <c r="O135">
        <v>2507</v>
      </c>
      <c r="P135">
        <v>3409</v>
      </c>
      <c r="Q135" t="str">
        <f>IF(BikeData[[#This Row],[casual]]+BikeData[[#This Row],[registered]]=BikeData[[#This Row],[cnt]],"OK","Check")</f>
        <v>OK</v>
      </c>
      <c r="R135">
        <f>IF(BikeData[[#This Row],[yr]]=0,2011,2012)</f>
        <v>2011</v>
      </c>
      <c r="S135" t="str">
        <f>CHOOSE(BikeData[[#This Row],[season]],"Winter","Spring","Summer","Fall")</f>
        <v>Spring</v>
      </c>
      <c r="T135" t="str">
        <f>TEXT(DATE(2000,BikeData[[#This Row],[mnth]],1),"mmmm")</f>
        <v>May</v>
      </c>
      <c r="U135" t="str">
        <f>IF(BikeData[[#This Row],[workingday]]=1,"Working Day","Non-working Day")</f>
        <v>Non-working Day</v>
      </c>
      <c r="V135" t="str">
        <f>CHOOSE(BikeData[[#This Row],[weekday]]+1,"Sunday","Monday","Tuesday","Wednesday","Thursday","Friday","Saturday")</f>
        <v>Saturday</v>
      </c>
      <c r="W135" t="str">
        <f>CHOOSE(BikeData[[#This Row],[weathersit]],"Clear / Few Clouds","Mist / Cloudy","Light Rain / Snow","Heavy Rain / Snow")</f>
        <v>Mist / Cloudy</v>
      </c>
    </row>
    <row r="136" spans="1:23" x14ac:dyDescent="0.3">
      <c r="A136">
        <v>135</v>
      </c>
      <c r="B136" s="1">
        <v>40678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>
        <v>0.5625</v>
      </c>
      <c r="K136">
        <v>0.53600000000000003</v>
      </c>
      <c r="L136">
        <v>0.86708300000000005</v>
      </c>
      <c r="M136">
        <v>0.152979</v>
      </c>
      <c r="N136">
        <v>1582</v>
      </c>
      <c r="O136">
        <v>2971</v>
      </c>
      <c r="P136">
        <v>4553</v>
      </c>
      <c r="Q136" t="str">
        <f>IF(BikeData[[#This Row],[casual]]+BikeData[[#This Row],[registered]]=BikeData[[#This Row],[cnt]],"OK","Check")</f>
        <v>OK</v>
      </c>
      <c r="R136">
        <f>IF(BikeData[[#This Row],[yr]]=0,2011,2012)</f>
        <v>2011</v>
      </c>
      <c r="S136" t="str">
        <f>CHOOSE(BikeData[[#This Row],[season]],"Winter","Spring","Summer","Fall")</f>
        <v>Spring</v>
      </c>
      <c r="T136" t="str">
        <f>TEXT(DATE(2000,BikeData[[#This Row],[mnth]],1),"mmmm")</f>
        <v>May</v>
      </c>
      <c r="U136" t="str">
        <f>IF(BikeData[[#This Row],[workingday]]=1,"Working Day","Non-working Day")</f>
        <v>Non-working Day</v>
      </c>
      <c r="V136" t="str">
        <f>CHOOSE(BikeData[[#This Row],[weekday]]+1,"Sunday","Monday","Tuesday","Wednesday","Thursday","Friday","Saturday")</f>
        <v>Sunday</v>
      </c>
      <c r="W136" t="str">
        <f>CHOOSE(BikeData[[#This Row],[weathersit]],"Clear / Few Clouds","Mist / Cloudy","Light Rain / Snow","Heavy Rain / Snow")</f>
        <v>Mist / Cloudy</v>
      </c>
    </row>
    <row r="137" spans="1:23" x14ac:dyDescent="0.3">
      <c r="A137">
        <v>136</v>
      </c>
      <c r="B137" s="1">
        <v>40679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>
        <v>0.57750000000000001</v>
      </c>
      <c r="K137">
        <v>0.550512</v>
      </c>
      <c r="L137">
        <v>0.78791699999999998</v>
      </c>
      <c r="M137">
        <v>0.12687100000000001</v>
      </c>
      <c r="N137">
        <v>773</v>
      </c>
      <c r="O137">
        <v>3185</v>
      </c>
      <c r="P137">
        <v>3958</v>
      </c>
      <c r="Q137" t="str">
        <f>IF(BikeData[[#This Row],[casual]]+BikeData[[#This Row],[registered]]=BikeData[[#This Row],[cnt]],"OK","Check")</f>
        <v>OK</v>
      </c>
      <c r="R137">
        <f>IF(BikeData[[#This Row],[yr]]=0,2011,2012)</f>
        <v>2011</v>
      </c>
      <c r="S137" t="str">
        <f>CHOOSE(BikeData[[#This Row],[season]],"Winter","Spring","Summer","Fall")</f>
        <v>Spring</v>
      </c>
      <c r="T137" t="str">
        <f>TEXT(DATE(2000,BikeData[[#This Row],[mnth]],1),"mmmm")</f>
        <v>May</v>
      </c>
      <c r="U137" t="str">
        <f>IF(BikeData[[#This Row],[workingday]]=1,"Working Day","Non-working Day")</f>
        <v>Working Day</v>
      </c>
      <c r="V137" t="str">
        <f>CHOOSE(BikeData[[#This Row],[weekday]]+1,"Sunday","Monday","Tuesday","Wednesday","Thursday","Friday","Saturday")</f>
        <v>Monday</v>
      </c>
      <c r="W137" t="str">
        <f>CHOOSE(BikeData[[#This Row],[weathersit]],"Clear / Few Clouds","Mist / Cloudy","Light Rain / Snow","Heavy Rain / Snow")</f>
        <v>Clear / Few Clouds</v>
      </c>
    </row>
    <row r="138" spans="1:23" x14ac:dyDescent="0.3">
      <c r="A138">
        <v>137</v>
      </c>
      <c r="B138" s="1">
        <v>40680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>
        <v>0.56166700000000003</v>
      </c>
      <c r="K138">
        <v>0.53852900000000004</v>
      </c>
      <c r="L138">
        <v>0.83791700000000002</v>
      </c>
      <c r="M138">
        <v>0.27735399999999999</v>
      </c>
      <c r="N138">
        <v>678</v>
      </c>
      <c r="O138">
        <v>3445</v>
      </c>
      <c r="P138">
        <v>4123</v>
      </c>
      <c r="Q138" t="str">
        <f>IF(BikeData[[#This Row],[casual]]+BikeData[[#This Row],[registered]]=BikeData[[#This Row],[cnt]],"OK","Check")</f>
        <v>OK</v>
      </c>
      <c r="R138">
        <f>IF(BikeData[[#This Row],[yr]]=0,2011,2012)</f>
        <v>2011</v>
      </c>
      <c r="S138" t="str">
        <f>CHOOSE(BikeData[[#This Row],[season]],"Winter","Spring","Summer","Fall")</f>
        <v>Spring</v>
      </c>
      <c r="T138" t="str">
        <f>TEXT(DATE(2000,BikeData[[#This Row],[mnth]],1),"mmmm")</f>
        <v>May</v>
      </c>
      <c r="U138" t="str">
        <f>IF(BikeData[[#This Row],[workingday]]=1,"Working Day","Non-working Day")</f>
        <v>Working Day</v>
      </c>
      <c r="V138" t="str">
        <f>CHOOSE(BikeData[[#This Row],[weekday]]+1,"Sunday","Monday","Tuesday","Wednesday","Thursday","Friday","Saturday")</f>
        <v>Tuesday</v>
      </c>
      <c r="W138" t="str">
        <f>CHOOSE(BikeData[[#This Row],[weathersit]],"Clear / Few Clouds","Mist / Cloudy","Light Rain / Snow","Heavy Rain / Snow")</f>
        <v>Mist / Cloudy</v>
      </c>
    </row>
    <row r="139" spans="1:23" x14ac:dyDescent="0.3">
      <c r="A139">
        <v>138</v>
      </c>
      <c r="B139" s="1">
        <v>40681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>
        <v>0.55000000000000004</v>
      </c>
      <c r="K139">
        <v>0.52715800000000002</v>
      </c>
      <c r="L139">
        <v>0.87</v>
      </c>
      <c r="M139">
        <v>0.201492</v>
      </c>
      <c r="N139">
        <v>536</v>
      </c>
      <c r="O139">
        <v>3319</v>
      </c>
      <c r="P139">
        <v>3855</v>
      </c>
      <c r="Q139" t="str">
        <f>IF(BikeData[[#This Row],[casual]]+BikeData[[#This Row],[registered]]=BikeData[[#This Row],[cnt]],"OK","Check")</f>
        <v>OK</v>
      </c>
      <c r="R139">
        <f>IF(BikeData[[#This Row],[yr]]=0,2011,2012)</f>
        <v>2011</v>
      </c>
      <c r="S139" t="str">
        <f>CHOOSE(BikeData[[#This Row],[season]],"Winter","Spring","Summer","Fall")</f>
        <v>Spring</v>
      </c>
      <c r="T139" t="str">
        <f>TEXT(DATE(2000,BikeData[[#This Row],[mnth]],1),"mmmm")</f>
        <v>May</v>
      </c>
      <c r="U139" t="str">
        <f>IF(BikeData[[#This Row],[workingday]]=1,"Working Day","Non-working Day")</f>
        <v>Working Day</v>
      </c>
      <c r="V139" t="str">
        <f>CHOOSE(BikeData[[#This Row],[weekday]]+1,"Sunday","Monday","Tuesday","Wednesday","Thursday","Friday","Saturday")</f>
        <v>Wednesday</v>
      </c>
      <c r="W139" t="str">
        <f>CHOOSE(BikeData[[#This Row],[weathersit]],"Clear / Few Clouds","Mist / Cloudy","Light Rain / Snow","Heavy Rain / Snow")</f>
        <v>Mist / Cloudy</v>
      </c>
    </row>
    <row r="140" spans="1:23" x14ac:dyDescent="0.3">
      <c r="A140">
        <v>139</v>
      </c>
      <c r="B140" s="1">
        <v>40682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>
        <v>0.530833</v>
      </c>
      <c r="K140">
        <v>0.51074200000000003</v>
      </c>
      <c r="L140">
        <v>0.82958299999999996</v>
      </c>
      <c r="M140">
        <v>0.108213</v>
      </c>
      <c r="N140">
        <v>735</v>
      </c>
      <c r="O140">
        <v>3840</v>
      </c>
      <c r="P140">
        <v>4575</v>
      </c>
      <c r="Q140" t="str">
        <f>IF(BikeData[[#This Row],[casual]]+BikeData[[#This Row],[registered]]=BikeData[[#This Row],[cnt]],"OK","Check")</f>
        <v>OK</v>
      </c>
      <c r="R140">
        <f>IF(BikeData[[#This Row],[yr]]=0,2011,2012)</f>
        <v>2011</v>
      </c>
      <c r="S140" t="str">
        <f>CHOOSE(BikeData[[#This Row],[season]],"Winter","Spring","Summer","Fall")</f>
        <v>Spring</v>
      </c>
      <c r="T140" t="str">
        <f>TEXT(DATE(2000,BikeData[[#This Row],[mnth]],1),"mmmm")</f>
        <v>May</v>
      </c>
      <c r="U140" t="str">
        <f>IF(BikeData[[#This Row],[workingday]]=1,"Working Day","Non-working Day")</f>
        <v>Working Day</v>
      </c>
      <c r="V140" t="str">
        <f>CHOOSE(BikeData[[#This Row],[weekday]]+1,"Sunday","Monday","Tuesday","Wednesday","Thursday","Friday","Saturday")</f>
        <v>Thursday</v>
      </c>
      <c r="W140" t="str">
        <f>CHOOSE(BikeData[[#This Row],[weathersit]],"Clear / Few Clouds","Mist / Cloudy","Light Rain / Snow","Heavy Rain / Snow")</f>
        <v>Mist / Cloudy</v>
      </c>
    </row>
    <row r="141" spans="1:23" x14ac:dyDescent="0.3">
      <c r="A141">
        <v>140</v>
      </c>
      <c r="B141" s="1">
        <v>40683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>
        <v>0.53666700000000001</v>
      </c>
      <c r="K141">
        <v>0.52904200000000001</v>
      </c>
      <c r="L141">
        <v>0.71958299999999997</v>
      </c>
      <c r="M141">
        <v>0.12501300000000001</v>
      </c>
      <c r="N141">
        <v>909</v>
      </c>
      <c r="O141">
        <v>4008</v>
      </c>
      <c r="P141">
        <v>4917</v>
      </c>
      <c r="Q141" t="str">
        <f>IF(BikeData[[#This Row],[casual]]+BikeData[[#This Row],[registered]]=BikeData[[#This Row],[cnt]],"OK","Check")</f>
        <v>OK</v>
      </c>
      <c r="R141">
        <f>IF(BikeData[[#This Row],[yr]]=0,2011,2012)</f>
        <v>2011</v>
      </c>
      <c r="S141" t="str">
        <f>CHOOSE(BikeData[[#This Row],[season]],"Winter","Spring","Summer","Fall")</f>
        <v>Spring</v>
      </c>
      <c r="T141" t="str">
        <f>TEXT(DATE(2000,BikeData[[#This Row],[mnth]],1),"mmmm")</f>
        <v>May</v>
      </c>
      <c r="U141" t="str">
        <f>IF(BikeData[[#This Row],[workingday]]=1,"Working Day","Non-working Day")</f>
        <v>Working Day</v>
      </c>
      <c r="V141" t="str">
        <f>CHOOSE(BikeData[[#This Row],[weekday]]+1,"Sunday","Monday","Tuesday","Wednesday","Thursday","Friday","Saturday")</f>
        <v>Friday</v>
      </c>
      <c r="W141" t="str">
        <f>CHOOSE(BikeData[[#This Row],[weathersit]],"Clear / Few Clouds","Mist / Cloudy","Light Rain / Snow","Heavy Rain / Snow")</f>
        <v>Clear / Few Clouds</v>
      </c>
    </row>
    <row r="142" spans="1:23" x14ac:dyDescent="0.3">
      <c r="A142">
        <v>141</v>
      </c>
      <c r="B142" s="1">
        <v>40684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>
        <v>0.60250000000000004</v>
      </c>
      <c r="K142">
        <v>0.57197500000000001</v>
      </c>
      <c r="L142">
        <v>0.62666699999999997</v>
      </c>
      <c r="M142">
        <v>0.12064999999999999</v>
      </c>
      <c r="N142">
        <v>2258</v>
      </c>
      <c r="O142">
        <v>3547</v>
      </c>
      <c r="P142">
        <v>5805</v>
      </c>
      <c r="Q142" t="str">
        <f>IF(BikeData[[#This Row],[casual]]+BikeData[[#This Row],[registered]]=BikeData[[#This Row],[cnt]],"OK","Check")</f>
        <v>OK</v>
      </c>
      <c r="R142">
        <f>IF(BikeData[[#This Row],[yr]]=0,2011,2012)</f>
        <v>2011</v>
      </c>
      <c r="S142" t="str">
        <f>CHOOSE(BikeData[[#This Row],[season]],"Winter","Spring","Summer","Fall")</f>
        <v>Spring</v>
      </c>
      <c r="T142" t="str">
        <f>TEXT(DATE(2000,BikeData[[#This Row],[mnth]],1),"mmmm")</f>
        <v>May</v>
      </c>
      <c r="U142" t="str">
        <f>IF(BikeData[[#This Row],[workingday]]=1,"Working Day","Non-working Day")</f>
        <v>Non-working Day</v>
      </c>
      <c r="V142" t="str">
        <f>CHOOSE(BikeData[[#This Row],[weekday]]+1,"Sunday","Monday","Tuesday","Wednesday","Thursday","Friday","Saturday")</f>
        <v>Saturday</v>
      </c>
      <c r="W142" t="str">
        <f>CHOOSE(BikeData[[#This Row],[weathersit]],"Clear / Few Clouds","Mist / Cloudy","Light Rain / Snow","Heavy Rain / Snow")</f>
        <v>Clear / Few Clouds</v>
      </c>
    </row>
    <row r="143" spans="1:23" x14ac:dyDescent="0.3">
      <c r="A143">
        <v>142</v>
      </c>
      <c r="B143" s="1">
        <v>40685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>
        <v>0.60416700000000001</v>
      </c>
      <c r="K143">
        <v>0.57450000000000001</v>
      </c>
      <c r="L143">
        <v>0.749583</v>
      </c>
      <c r="M143">
        <v>0.148008</v>
      </c>
      <c r="N143">
        <v>1576</v>
      </c>
      <c r="O143">
        <v>3084</v>
      </c>
      <c r="P143">
        <v>4660</v>
      </c>
      <c r="Q143" t="str">
        <f>IF(BikeData[[#This Row],[casual]]+BikeData[[#This Row],[registered]]=BikeData[[#This Row],[cnt]],"OK","Check")</f>
        <v>OK</v>
      </c>
      <c r="R143">
        <f>IF(BikeData[[#This Row],[yr]]=0,2011,2012)</f>
        <v>2011</v>
      </c>
      <c r="S143" t="str">
        <f>CHOOSE(BikeData[[#This Row],[season]],"Winter","Spring","Summer","Fall")</f>
        <v>Spring</v>
      </c>
      <c r="T143" t="str">
        <f>TEXT(DATE(2000,BikeData[[#This Row],[mnth]],1),"mmmm")</f>
        <v>May</v>
      </c>
      <c r="U143" t="str">
        <f>IF(BikeData[[#This Row],[workingday]]=1,"Working Day","Non-working Day")</f>
        <v>Non-working Day</v>
      </c>
      <c r="V143" t="str">
        <f>CHOOSE(BikeData[[#This Row],[weekday]]+1,"Sunday","Monday","Tuesday","Wednesday","Thursday","Friday","Saturday")</f>
        <v>Sunday</v>
      </c>
      <c r="W143" t="str">
        <f>CHOOSE(BikeData[[#This Row],[weathersit]],"Clear / Few Clouds","Mist / Cloudy","Light Rain / Snow","Heavy Rain / Snow")</f>
        <v>Clear / Few Clouds</v>
      </c>
    </row>
    <row r="144" spans="1:23" x14ac:dyDescent="0.3">
      <c r="A144">
        <v>143</v>
      </c>
      <c r="B144" s="1">
        <v>40686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>
        <v>0.63166699999999998</v>
      </c>
      <c r="K144">
        <v>0.59029600000000004</v>
      </c>
      <c r="L144">
        <v>0.81</v>
      </c>
      <c r="M144">
        <v>0.23384199999999999</v>
      </c>
      <c r="N144">
        <v>836</v>
      </c>
      <c r="O144">
        <v>3438</v>
      </c>
      <c r="P144">
        <v>4274</v>
      </c>
      <c r="Q144" t="str">
        <f>IF(BikeData[[#This Row],[casual]]+BikeData[[#This Row],[registered]]=BikeData[[#This Row],[cnt]],"OK","Check")</f>
        <v>OK</v>
      </c>
      <c r="R144">
        <f>IF(BikeData[[#This Row],[yr]]=0,2011,2012)</f>
        <v>2011</v>
      </c>
      <c r="S144" t="str">
        <f>CHOOSE(BikeData[[#This Row],[season]],"Winter","Spring","Summer","Fall")</f>
        <v>Spring</v>
      </c>
      <c r="T144" t="str">
        <f>TEXT(DATE(2000,BikeData[[#This Row],[mnth]],1),"mmmm")</f>
        <v>May</v>
      </c>
      <c r="U144" t="str">
        <f>IF(BikeData[[#This Row],[workingday]]=1,"Working Day","Non-working Day")</f>
        <v>Working Day</v>
      </c>
      <c r="V144" t="str">
        <f>CHOOSE(BikeData[[#This Row],[weekday]]+1,"Sunday","Monday","Tuesday","Wednesday","Thursday","Friday","Saturday")</f>
        <v>Monday</v>
      </c>
      <c r="W144" t="str">
        <f>CHOOSE(BikeData[[#This Row],[weathersit]],"Clear / Few Clouds","Mist / Cloudy","Light Rain / Snow","Heavy Rain / Snow")</f>
        <v>Mist / Cloudy</v>
      </c>
    </row>
    <row r="145" spans="1:23" x14ac:dyDescent="0.3">
      <c r="A145">
        <v>144</v>
      </c>
      <c r="B145" s="1">
        <v>40687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>
        <v>0.66</v>
      </c>
      <c r="K145">
        <v>0.60481300000000005</v>
      </c>
      <c r="L145">
        <v>0.74083299999999996</v>
      </c>
      <c r="M145">
        <v>0.207092</v>
      </c>
      <c r="N145">
        <v>659</v>
      </c>
      <c r="O145">
        <v>3833</v>
      </c>
      <c r="P145">
        <v>4492</v>
      </c>
      <c r="Q145" t="str">
        <f>IF(BikeData[[#This Row],[casual]]+BikeData[[#This Row],[registered]]=BikeData[[#This Row],[cnt]],"OK","Check")</f>
        <v>OK</v>
      </c>
      <c r="R145">
        <f>IF(BikeData[[#This Row],[yr]]=0,2011,2012)</f>
        <v>2011</v>
      </c>
      <c r="S145" t="str">
        <f>CHOOSE(BikeData[[#This Row],[season]],"Winter","Spring","Summer","Fall")</f>
        <v>Spring</v>
      </c>
      <c r="T145" t="str">
        <f>TEXT(DATE(2000,BikeData[[#This Row],[mnth]],1),"mmmm")</f>
        <v>May</v>
      </c>
      <c r="U145" t="str">
        <f>IF(BikeData[[#This Row],[workingday]]=1,"Working Day","Non-working Day")</f>
        <v>Working Day</v>
      </c>
      <c r="V145" t="str">
        <f>CHOOSE(BikeData[[#This Row],[weekday]]+1,"Sunday","Monday","Tuesday","Wednesday","Thursday","Friday","Saturday")</f>
        <v>Tuesday</v>
      </c>
      <c r="W145" t="str">
        <f>CHOOSE(BikeData[[#This Row],[weathersit]],"Clear / Few Clouds","Mist / Cloudy","Light Rain / Snow","Heavy Rain / Snow")</f>
        <v>Mist / Cloudy</v>
      </c>
    </row>
    <row r="146" spans="1:23" x14ac:dyDescent="0.3">
      <c r="A146">
        <v>145</v>
      </c>
      <c r="B146" s="1">
        <v>40688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>
        <v>0.660833</v>
      </c>
      <c r="K146">
        <v>0.61554200000000003</v>
      </c>
      <c r="L146">
        <v>0.69625000000000004</v>
      </c>
      <c r="M146">
        <v>0.15423300000000001</v>
      </c>
      <c r="N146">
        <v>740</v>
      </c>
      <c r="O146">
        <v>4238</v>
      </c>
      <c r="P146">
        <v>4978</v>
      </c>
      <c r="Q146" t="str">
        <f>IF(BikeData[[#This Row],[casual]]+BikeData[[#This Row],[registered]]=BikeData[[#This Row],[cnt]],"OK","Check")</f>
        <v>OK</v>
      </c>
      <c r="R146">
        <f>IF(BikeData[[#This Row],[yr]]=0,2011,2012)</f>
        <v>2011</v>
      </c>
      <c r="S146" t="str">
        <f>CHOOSE(BikeData[[#This Row],[season]],"Winter","Spring","Summer","Fall")</f>
        <v>Spring</v>
      </c>
      <c r="T146" t="str">
        <f>TEXT(DATE(2000,BikeData[[#This Row],[mnth]],1),"mmmm")</f>
        <v>May</v>
      </c>
      <c r="U146" t="str">
        <f>IF(BikeData[[#This Row],[workingday]]=1,"Working Day","Non-working Day")</f>
        <v>Working Day</v>
      </c>
      <c r="V146" t="str">
        <f>CHOOSE(BikeData[[#This Row],[weekday]]+1,"Sunday","Monday","Tuesday","Wednesday","Thursday","Friday","Saturday")</f>
        <v>Wednesday</v>
      </c>
      <c r="W146" t="str">
        <f>CHOOSE(BikeData[[#This Row],[weathersit]],"Clear / Few Clouds","Mist / Cloudy","Light Rain / Snow","Heavy Rain / Snow")</f>
        <v>Clear / Few Clouds</v>
      </c>
    </row>
    <row r="147" spans="1:23" x14ac:dyDescent="0.3">
      <c r="A147">
        <v>146</v>
      </c>
      <c r="B147" s="1">
        <v>40689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>
        <v>0.70833299999999999</v>
      </c>
      <c r="K147">
        <v>0.65468800000000005</v>
      </c>
      <c r="L147">
        <v>0.67749999999999999</v>
      </c>
      <c r="M147">
        <v>0.19964199999999999</v>
      </c>
      <c r="N147">
        <v>758</v>
      </c>
      <c r="O147">
        <v>3919</v>
      </c>
      <c r="P147">
        <v>4677</v>
      </c>
      <c r="Q147" t="str">
        <f>IF(BikeData[[#This Row],[casual]]+BikeData[[#This Row],[registered]]=BikeData[[#This Row],[cnt]],"OK","Check")</f>
        <v>OK</v>
      </c>
      <c r="R147">
        <f>IF(BikeData[[#This Row],[yr]]=0,2011,2012)</f>
        <v>2011</v>
      </c>
      <c r="S147" t="str">
        <f>CHOOSE(BikeData[[#This Row],[season]],"Winter","Spring","Summer","Fall")</f>
        <v>Spring</v>
      </c>
      <c r="T147" t="str">
        <f>TEXT(DATE(2000,BikeData[[#This Row],[mnth]],1),"mmmm")</f>
        <v>May</v>
      </c>
      <c r="U147" t="str">
        <f>IF(BikeData[[#This Row],[workingday]]=1,"Working Day","Non-working Day")</f>
        <v>Working Day</v>
      </c>
      <c r="V147" t="str">
        <f>CHOOSE(BikeData[[#This Row],[weekday]]+1,"Sunday","Monday","Tuesday","Wednesday","Thursday","Friday","Saturday")</f>
        <v>Thursday</v>
      </c>
      <c r="W147" t="str">
        <f>CHOOSE(BikeData[[#This Row],[weathersit]],"Clear / Few Clouds","Mist / Cloudy","Light Rain / Snow","Heavy Rain / Snow")</f>
        <v>Clear / Few Clouds</v>
      </c>
    </row>
    <row r="148" spans="1:23" x14ac:dyDescent="0.3">
      <c r="A148">
        <v>147</v>
      </c>
      <c r="B148" s="1">
        <v>40690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>
        <v>0.68166700000000002</v>
      </c>
      <c r="K148">
        <v>0.63700800000000002</v>
      </c>
      <c r="L148">
        <v>0.65375000000000005</v>
      </c>
      <c r="M148">
        <v>0.240679</v>
      </c>
      <c r="N148">
        <v>871</v>
      </c>
      <c r="O148">
        <v>3808</v>
      </c>
      <c r="P148">
        <v>4679</v>
      </c>
      <c r="Q148" t="str">
        <f>IF(BikeData[[#This Row],[casual]]+BikeData[[#This Row],[registered]]=BikeData[[#This Row],[cnt]],"OK","Check")</f>
        <v>OK</v>
      </c>
      <c r="R148">
        <f>IF(BikeData[[#This Row],[yr]]=0,2011,2012)</f>
        <v>2011</v>
      </c>
      <c r="S148" t="str">
        <f>CHOOSE(BikeData[[#This Row],[season]],"Winter","Spring","Summer","Fall")</f>
        <v>Spring</v>
      </c>
      <c r="T148" t="str">
        <f>TEXT(DATE(2000,BikeData[[#This Row],[mnth]],1),"mmmm")</f>
        <v>May</v>
      </c>
      <c r="U148" t="str">
        <f>IF(BikeData[[#This Row],[workingday]]=1,"Working Day","Non-working Day")</f>
        <v>Working Day</v>
      </c>
      <c r="V148" t="str">
        <f>CHOOSE(BikeData[[#This Row],[weekday]]+1,"Sunday","Monday","Tuesday","Wednesday","Thursday","Friday","Saturday")</f>
        <v>Friday</v>
      </c>
      <c r="W148" t="str">
        <f>CHOOSE(BikeData[[#This Row],[weathersit]],"Clear / Few Clouds","Mist / Cloudy","Light Rain / Snow","Heavy Rain / Snow")</f>
        <v>Clear / Few Clouds</v>
      </c>
    </row>
    <row r="149" spans="1:23" x14ac:dyDescent="0.3">
      <c r="A149">
        <v>148</v>
      </c>
      <c r="B149" s="1">
        <v>40691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>
        <v>0.655833</v>
      </c>
      <c r="K149">
        <v>0.61237900000000001</v>
      </c>
      <c r="L149">
        <v>0.72958299999999998</v>
      </c>
      <c r="M149">
        <v>0.23009199999999999</v>
      </c>
      <c r="N149">
        <v>2001</v>
      </c>
      <c r="O149">
        <v>2757</v>
      </c>
      <c r="P149">
        <v>4758</v>
      </c>
      <c r="Q149" t="str">
        <f>IF(BikeData[[#This Row],[casual]]+BikeData[[#This Row],[registered]]=BikeData[[#This Row],[cnt]],"OK","Check")</f>
        <v>OK</v>
      </c>
      <c r="R149">
        <f>IF(BikeData[[#This Row],[yr]]=0,2011,2012)</f>
        <v>2011</v>
      </c>
      <c r="S149" t="str">
        <f>CHOOSE(BikeData[[#This Row],[season]],"Winter","Spring","Summer","Fall")</f>
        <v>Spring</v>
      </c>
      <c r="T149" t="str">
        <f>TEXT(DATE(2000,BikeData[[#This Row],[mnth]],1),"mmmm")</f>
        <v>May</v>
      </c>
      <c r="U149" t="str">
        <f>IF(BikeData[[#This Row],[workingday]]=1,"Working Day","Non-working Day")</f>
        <v>Non-working Day</v>
      </c>
      <c r="V149" t="str">
        <f>CHOOSE(BikeData[[#This Row],[weekday]]+1,"Sunday","Monday","Tuesday","Wednesday","Thursday","Friday","Saturday")</f>
        <v>Saturday</v>
      </c>
      <c r="W149" t="str">
        <f>CHOOSE(BikeData[[#This Row],[weathersit]],"Clear / Few Clouds","Mist / Cloudy","Light Rain / Snow","Heavy Rain / Snow")</f>
        <v>Clear / Few Clouds</v>
      </c>
    </row>
    <row r="150" spans="1:23" x14ac:dyDescent="0.3">
      <c r="A150">
        <v>149</v>
      </c>
      <c r="B150" s="1">
        <v>40692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>
        <v>0.66749999999999998</v>
      </c>
      <c r="K150">
        <v>0.61555000000000004</v>
      </c>
      <c r="L150">
        <v>0.81874999999999998</v>
      </c>
      <c r="M150">
        <v>0.21393799999999999</v>
      </c>
      <c r="N150">
        <v>2355</v>
      </c>
      <c r="O150">
        <v>2433</v>
      </c>
      <c r="P150">
        <v>4788</v>
      </c>
      <c r="Q150" t="str">
        <f>IF(BikeData[[#This Row],[casual]]+BikeData[[#This Row],[registered]]=BikeData[[#This Row],[cnt]],"OK","Check")</f>
        <v>OK</v>
      </c>
      <c r="R150">
        <f>IF(BikeData[[#This Row],[yr]]=0,2011,2012)</f>
        <v>2011</v>
      </c>
      <c r="S150" t="str">
        <f>CHOOSE(BikeData[[#This Row],[season]],"Winter","Spring","Summer","Fall")</f>
        <v>Spring</v>
      </c>
      <c r="T150" t="str">
        <f>TEXT(DATE(2000,BikeData[[#This Row],[mnth]],1),"mmmm")</f>
        <v>May</v>
      </c>
      <c r="U150" t="str">
        <f>IF(BikeData[[#This Row],[workingday]]=1,"Working Day","Non-working Day")</f>
        <v>Non-working Day</v>
      </c>
      <c r="V150" t="str">
        <f>CHOOSE(BikeData[[#This Row],[weekday]]+1,"Sunday","Monday","Tuesday","Wednesday","Thursday","Friday","Saturday")</f>
        <v>Sunday</v>
      </c>
      <c r="W150" t="str">
        <f>CHOOSE(BikeData[[#This Row],[weathersit]],"Clear / Few Clouds","Mist / Cloudy","Light Rain / Snow","Heavy Rain / Snow")</f>
        <v>Clear / Few Clouds</v>
      </c>
    </row>
    <row r="151" spans="1:23" x14ac:dyDescent="0.3">
      <c r="A151">
        <v>150</v>
      </c>
      <c r="B151" s="1">
        <v>40693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>
        <v>0.73333300000000001</v>
      </c>
      <c r="K151">
        <v>0.67109200000000002</v>
      </c>
      <c r="L151">
        <v>0.68500000000000005</v>
      </c>
      <c r="M151">
        <v>0.13122500000000001</v>
      </c>
      <c r="N151">
        <v>1549</v>
      </c>
      <c r="O151">
        <v>2549</v>
      </c>
      <c r="P151">
        <v>4098</v>
      </c>
      <c r="Q151" t="str">
        <f>IF(BikeData[[#This Row],[casual]]+BikeData[[#This Row],[registered]]=BikeData[[#This Row],[cnt]],"OK","Check")</f>
        <v>OK</v>
      </c>
      <c r="R151">
        <f>IF(BikeData[[#This Row],[yr]]=0,2011,2012)</f>
        <v>2011</v>
      </c>
      <c r="S151" t="str">
        <f>CHOOSE(BikeData[[#This Row],[season]],"Winter","Spring","Summer","Fall")</f>
        <v>Spring</v>
      </c>
      <c r="T151" t="str">
        <f>TEXT(DATE(2000,BikeData[[#This Row],[mnth]],1),"mmmm")</f>
        <v>May</v>
      </c>
      <c r="U151" t="str">
        <f>IF(BikeData[[#This Row],[workingday]]=1,"Working Day","Non-working Day")</f>
        <v>Non-working Day</v>
      </c>
      <c r="V151" t="str">
        <f>CHOOSE(BikeData[[#This Row],[weekday]]+1,"Sunday","Monday","Tuesday","Wednesday","Thursday","Friday","Saturday")</f>
        <v>Monday</v>
      </c>
      <c r="W151" t="str">
        <f>CHOOSE(BikeData[[#This Row],[weathersit]],"Clear / Few Clouds","Mist / Cloudy","Light Rain / Snow","Heavy Rain / Snow")</f>
        <v>Clear / Few Clouds</v>
      </c>
    </row>
    <row r="152" spans="1:23" x14ac:dyDescent="0.3">
      <c r="A152">
        <v>151</v>
      </c>
      <c r="B152" s="1">
        <v>40694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>
        <v>0.77500000000000002</v>
      </c>
      <c r="K152">
        <v>0.725383</v>
      </c>
      <c r="L152">
        <v>0.63666699999999998</v>
      </c>
      <c r="M152">
        <v>0.111329</v>
      </c>
      <c r="N152">
        <v>673</v>
      </c>
      <c r="O152">
        <v>3309</v>
      </c>
      <c r="P152">
        <v>3982</v>
      </c>
      <c r="Q152" t="str">
        <f>IF(BikeData[[#This Row],[casual]]+BikeData[[#This Row],[registered]]=BikeData[[#This Row],[cnt]],"OK","Check")</f>
        <v>OK</v>
      </c>
      <c r="R152">
        <f>IF(BikeData[[#This Row],[yr]]=0,2011,2012)</f>
        <v>2011</v>
      </c>
      <c r="S152" t="str">
        <f>CHOOSE(BikeData[[#This Row],[season]],"Winter","Spring","Summer","Fall")</f>
        <v>Spring</v>
      </c>
      <c r="T152" t="str">
        <f>TEXT(DATE(2000,BikeData[[#This Row],[mnth]],1),"mmmm")</f>
        <v>May</v>
      </c>
      <c r="U152" t="str">
        <f>IF(BikeData[[#This Row],[workingday]]=1,"Working Day","Non-working Day")</f>
        <v>Working Day</v>
      </c>
      <c r="V152" t="str">
        <f>CHOOSE(BikeData[[#This Row],[weekday]]+1,"Sunday","Monday","Tuesday","Wednesday","Thursday","Friday","Saturday")</f>
        <v>Tuesday</v>
      </c>
      <c r="W152" t="str">
        <f>CHOOSE(BikeData[[#This Row],[weathersit]],"Clear / Few Clouds","Mist / Cloudy","Light Rain / Snow","Heavy Rain / Snow")</f>
        <v>Clear / Few Clouds</v>
      </c>
    </row>
    <row r="153" spans="1:23" x14ac:dyDescent="0.3">
      <c r="A153">
        <v>152</v>
      </c>
      <c r="B153" s="1">
        <v>40695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>
        <v>0.76416700000000004</v>
      </c>
      <c r="K153">
        <v>0.72096700000000002</v>
      </c>
      <c r="L153">
        <v>0.67708299999999999</v>
      </c>
      <c r="M153">
        <v>0.207092</v>
      </c>
      <c r="N153">
        <v>513</v>
      </c>
      <c r="O153">
        <v>3461</v>
      </c>
      <c r="P153">
        <v>3974</v>
      </c>
      <c r="Q153" t="str">
        <f>IF(BikeData[[#This Row],[casual]]+BikeData[[#This Row],[registered]]=BikeData[[#This Row],[cnt]],"OK","Check")</f>
        <v>OK</v>
      </c>
      <c r="R153">
        <f>IF(BikeData[[#This Row],[yr]]=0,2011,2012)</f>
        <v>2011</v>
      </c>
      <c r="S153" t="str">
        <f>CHOOSE(BikeData[[#This Row],[season]],"Winter","Spring","Summer","Fall")</f>
        <v>Spring</v>
      </c>
      <c r="T153" t="str">
        <f>TEXT(DATE(2000,BikeData[[#This Row],[mnth]],1),"mmmm")</f>
        <v>June</v>
      </c>
      <c r="U153" t="str">
        <f>IF(BikeData[[#This Row],[workingday]]=1,"Working Day","Non-working Day")</f>
        <v>Working Day</v>
      </c>
      <c r="V153" t="str">
        <f>CHOOSE(BikeData[[#This Row],[weekday]]+1,"Sunday","Monday","Tuesday","Wednesday","Thursday","Friday","Saturday")</f>
        <v>Wednesday</v>
      </c>
      <c r="W153" t="str">
        <f>CHOOSE(BikeData[[#This Row],[weathersit]],"Clear / Few Clouds","Mist / Cloudy","Light Rain / Snow","Heavy Rain / Snow")</f>
        <v>Mist / Cloudy</v>
      </c>
    </row>
    <row r="154" spans="1:23" x14ac:dyDescent="0.3">
      <c r="A154">
        <v>153</v>
      </c>
      <c r="B154" s="1">
        <v>40696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>
        <v>0.71499999999999997</v>
      </c>
      <c r="K154">
        <v>0.64394200000000001</v>
      </c>
      <c r="L154">
        <v>0.30499999999999999</v>
      </c>
      <c r="M154">
        <v>0.29228700000000002</v>
      </c>
      <c r="N154">
        <v>736</v>
      </c>
      <c r="O154">
        <v>4232</v>
      </c>
      <c r="P154">
        <v>4968</v>
      </c>
      <c r="Q154" t="str">
        <f>IF(BikeData[[#This Row],[casual]]+BikeData[[#This Row],[registered]]=BikeData[[#This Row],[cnt]],"OK","Check")</f>
        <v>OK</v>
      </c>
      <c r="R154">
        <f>IF(BikeData[[#This Row],[yr]]=0,2011,2012)</f>
        <v>2011</v>
      </c>
      <c r="S154" t="str">
        <f>CHOOSE(BikeData[[#This Row],[season]],"Winter","Spring","Summer","Fall")</f>
        <v>Spring</v>
      </c>
      <c r="T154" t="str">
        <f>TEXT(DATE(2000,BikeData[[#This Row],[mnth]],1),"mmmm")</f>
        <v>June</v>
      </c>
      <c r="U154" t="str">
        <f>IF(BikeData[[#This Row],[workingday]]=1,"Working Day","Non-working Day")</f>
        <v>Working Day</v>
      </c>
      <c r="V154" t="str">
        <f>CHOOSE(BikeData[[#This Row],[weekday]]+1,"Sunday","Monday","Tuesday","Wednesday","Thursday","Friday","Saturday")</f>
        <v>Thursday</v>
      </c>
      <c r="W154" t="str">
        <f>CHOOSE(BikeData[[#This Row],[weathersit]],"Clear / Few Clouds","Mist / Cloudy","Light Rain / Snow","Heavy Rain / Snow")</f>
        <v>Clear / Few Clouds</v>
      </c>
    </row>
    <row r="155" spans="1:23" x14ac:dyDescent="0.3">
      <c r="A155">
        <v>154</v>
      </c>
      <c r="B155" s="1">
        <v>40697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>
        <v>0.62</v>
      </c>
      <c r="K155">
        <v>0.58713300000000002</v>
      </c>
      <c r="L155">
        <v>0.35416700000000001</v>
      </c>
      <c r="M155">
        <v>0.25312099999999998</v>
      </c>
      <c r="N155">
        <v>898</v>
      </c>
      <c r="O155">
        <v>4414</v>
      </c>
      <c r="P155">
        <v>5312</v>
      </c>
      <c r="Q155" t="str">
        <f>IF(BikeData[[#This Row],[casual]]+BikeData[[#This Row],[registered]]=BikeData[[#This Row],[cnt]],"OK","Check")</f>
        <v>OK</v>
      </c>
      <c r="R155">
        <f>IF(BikeData[[#This Row],[yr]]=0,2011,2012)</f>
        <v>2011</v>
      </c>
      <c r="S155" t="str">
        <f>CHOOSE(BikeData[[#This Row],[season]],"Winter","Spring","Summer","Fall")</f>
        <v>Spring</v>
      </c>
      <c r="T155" t="str">
        <f>TEXT(DATE(2000,BikeData[[#This Row],[mnth]],1),"mmmm")</f>
        <v>June</v>
      </c>
      <c r="U155" t="str">
        <f>IF(BikeData[[#This Row],[workingday]]=1,"Working Day","Non-working Day")</f>
        <v>Working Day</v>
      </c>
      <c r="V155" t="str">
        <f>CHOOSE(BikeData[[#This Row],[weekday]]+1,"Sunday","Monday","Tuesday","Wednesday","Thursday","Friday","Saturday")</f>
        <v>Friday</v>
      </c>
      <c r="W155" t="str">
        <f>CHOOSE(BikeData[[#This Row],[weathersit]],"Clear / Few Clouds","Mist / Cloudy","Light Rain / Snow","Heavy Rain / Snow")</f>
        <v>Clear / Few Clouds</v>
      </c>
    </row>
    <row r="156" spans="1:23" x14ac:dyDescent="0.3">
      <c r="A156">
        <v>155</v>
      </c>
      <c r="B156" s="1">
        <v>40698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>
        <v>0.63500000000000001</v>
      </c>
      <c r="K156">
        <v>0.594696</v>
      </c>
      <c r="L156">
        <v>0.45624999999999999</v>
      </c>
      <c r="M156">
        <v>0.123142</v>
      </c>
      <c r="N156">
        <v>1869</v>
      </c>
      <c r="O156">
        <v>3473</v>
      </c>
      <c r="P156">
        <v>5342</v>
      </c>
      <c r="Q156" t="str">
        <f>IF(BikeData[[#This Row],[casual]]+BikeData[[#This Row],[registered]]=BikeData[[#This Row],[cnt]],"OK","Check")</f>
        <v>OK</v>
      </c>
      <c r="R156">
        <f>IF(BikeData[[#This Row],[yr]]=0,2011,2012)</f>
        <v>2011</v>
      </c>
      <c r="S156" t="str">
        <f>CHOOSE(BikeData[[#This Row],[season]],"Winter","Spring","Summer","Fall")</f>
        <v>Spring</v>
      </c>
      <c r="T156" t="str">
        <f>TEXT(DATE(2000,BikeData[[#This Row],[mnth]],1),"mmmm")</f>
        <v>June</v>
      </c>
      <c r="U156" t="str">
        <f>IF(BikeData[[#This Row],[workingday]]=1,"Working Day","Non-working Day")</f>
        <v>Non-working Day</v>
      </c>
      <c r="V156" t="str">
        <f>CHOOSE(BikeData[[#This Row],[weekday]]+1,"Sunday","Monday","Tuesday","Wednesday","Thursday","Friday","Saturday")</f>
        <v>Saturday</v>
      </c>
      <c r="W156" t="str">
        <f>CHOOSE(BikeData[[#This Row],[weathersit]],"Clear / Few Clouds","Mist / Cloudy","Light Rain / Snow","Heavy Rain / Snow")</f>
        <v>Clear / Few Clouds</v>
      </c>
    </row>
    <row r="157" spans="1:23" x14ac:dyDescent="0.3">
      <c r="A157">
        <v>156</v>
      </c>
      <c r="B157" s="1">
        <v>40699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>
        <v>0.64833300000000005</v>
      </c>
      <c r="K157">
        <v>0.61680400000000002</v>
      </c>
      <c r="L157">
        <v>0.65249999999999997</v>
      </c>
      <c r="M157">
        <v>0.13869200000000001</v>
      </c>
      <c r="N157">
        <v>1685</v>
      </c>
      <c r="O157">
        <v>3221</v>
      </c>
      <c r="P157">
        <v>4906</v>
      </c>
      <c r="Q157" t="str">
        <f>IF(BikeData[[#This Row],[casual]]+BikeData[[#This Row],[registered]]=BikeData[[#This Row],[cnt]],"OK","Check")</f>
        <v>OK</v>
      </c>
      <c r="R157">
        <f>IF(BikeData[[#This Row],[yr]]=0,2011,2012)</f>
        <v>2011</v>
      </c>
      <c r="S157" t="str">
        <f>CHOOSE(BikeData[[#This Row],[season]],"Winter","Spring","Summer","Fall")</f>
        <v>Spring</v>
      </c>
      <c r="T157" t="str">
        <f>TEXT(DATE(2000,BikeData[[#This Row],[mnth]],1),"mmmm")</f>
        <v>June</v>
      </c>
      <c r="U157" t="str">
        <f>IF(BikeData[[#This Row],[workingday]]=1,"Working Day","Non-working Day")</f>
        <v>Non-working Day</v>
      </c>
      <c r="V157" t="str">
        <f>CHOOSE(BikeData[[#This Row],[weekday]]+1,"Sunday","Monday","Tuesday","Wednesday","Thursday","Friday","Saturday")</f>
        <v>Sunday</v>
      </c>
      <c r="W157" t="str">
        <f>CHOOSE(BikeData[[#This Row],[weathersit]],"Clear / Few Clouds","Mist / Cloudy","Light Rain / Snow","Heavy Rain / Snow")</f>
        <v>Mist / Cloudy</v>
      </c>
    </row>
    <row r="158" spans="1:23" x14ac:dyDescent="0.3">
      <c r="A158">
        <v>157</v>
      </c>
      <c r="B158" s="1">
        <v>40700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>
        <v>0.67833299999999996</v>
      </c>
      <c r="K158">
        <v>0.62185800000000002</v>
      </c>
      <c r="L158">
        <v>0.6</v>
      </c>
      <c r="M158">
        <v>0.121896</v>
      </c>
      <c r="N158">
        <v>673</v>
      </c>
      <c r="O158">
        <v>3875</v>
      </c>
      <c r="P158">
        <v>4548</v>
      </c>
      <c r="Q158" t="str">
        <f>IF(BikeData[[#This Row],[casual]]+BikeData[[#This Row],[registered]]=BikeData[[#This Row],[cnt]],"OK","Check")</f>
        <v>OK</v>
      </c>
      <c r="R158">
        <f>IF(BikeData[[#This Row],[yr]]=0,2011,2012)</f>
        <v>2011</v>
      </c>
      <c r="S158" t="str">
        <f>CHOOSE(BikeData[[#This Row],[season]],"Winter","Spring","Summer","Fall")</f>
        <v>Spring</v>
      </c>
      <c r="T158" t="str">
        <f>TEXT(DATE(2000,BikeData[[#This Row],[mnth]],1),"mmmm")</f>
        <v>June</v>
      </c>
      <c r="U158" t="str">
        <f>IF(BikeData[[#This Row],[workingday]]=1,"Working Day","Non-working Day")</f>
        <v>Working Day</v>
      </c>
      <c r="V158" t="str">
        <f>CHOOSE(BikeData[[#This Row],[weekday]]+1,"Sunday","Monday","Tuesday","Wednesday","Thursday","Friday","Saturday")</f>
        <v>Monday</v>
      </c>
      <c r="W158" t="str">
        <f>CHOOSE(BikeData[[#This Row],[weathersit]],"Clear / Few Clouds","Mist / Cloudy","Light Rain / Snow","Heavy Rain / Snow")</f>
        <v>Clear / Few Clouds</v>
      </c>
    </row>
    <row r="159" spans="1:23" x14ac:dyDescent="0.3">
      <c r="A159">
        <v>158</v>
      </c>
      <c r="B159" s="1">
        <v>40701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>
        <v>0.70750000000000002</v>
      </c>
      <c r="K159">
        <v>0.65595000000000003</v>
      </c>
      <c r="L159">
        <v>0.59791700000000003</v>
      </c>
      <c r="M159">
        <v>0.187808</v>
      </c>
      <c r="N159">
        <v>763</v>
      </c>
      <c r="O159">
        <v>4070</v>
      </c>
      <c r="P159">
        <v>4833</v>
      </c>
      <c r="Q159" t="str">
        <f>IF(BikeData[[#This Row],[casual]]+BikeData[[#This Row],[registered]]=BikeData[[#This Row],[cnt]],"OK","Check")</f>
        <v>OK</v>
      </c>
      <c r="R159">
        <f>IF(BikeData[[#This Row],[yr]]=0,2011,2012)</f>
        <v>2011</v>
      </c>
      <c r="S159" t="str">
        <f>CHOOSE(BikeData[[#This Row],[season]],"Winter","Spring","Summer","Fall")</f>
        <v>Spring</v>
      </c>
      <c r="T159" t="str">
        <f>TEXT(DATE(2000,BikeData[[#This Row],[mnth]],1),"mmmm")</f>
        <v>June</v>
      </c>
      <c r="U159" t="str">
        <f>IF(BikeData[[#This Row],[workingday]]=1,"Working Day","Non-working Day")</f>
        <v>Working Day</v>
      </c>
      <c r="V159" t="str">
        <f>CHOOSE(BikeData[[#This Row],[weekday]]+1,"Sunday","Monday","Tuesday","Wednesday","Thursday","Friday","Saturday")</f>
        <v>Tuesday</v>
      </c>
      <c r="W159" t="str">
        <f>CHOOSE(BikeData[[#This Row],[weathersit]],"Clear / Few Clouds","Mist / Cloudy","Light Rain / Snow","Heavy Rain / Snow")</f>
        <v>Clear / Few Clouds</v>
      </c>
    </row>
    <row r="160" spans="1:23" x14ac:dyDescent="0.3">
      <c r="A160">
        <v>159</v>
      </c>
      <c r="B160" s="1">
        <v>40702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>
        <v>0.77583299999999999</v>
      </c>
      <c r="K160">
        <v>0.72727900000000001</v>
      </c>
      <c r="L160">
        <v>0.62208300000000005</v>
      </c>
      <c r="M160">
        <v>0.13681699999999999</v>
      </c>
      <c r="N160">
        <v>676</v>
      </c>
      <c r="O160">
        <v>3725</v>
      </c>
      <c r="P160">
        <v>4401</v>
      </c>
      <c r="Q160" t="str">
        <f>IF(BikeData[[#This Row],[casual]]+BikeData[[#This Row],[registered]]=BikeData[[#This Row],[cnt]],"OK","Check")</f>
        <v>OK</v>
      </c>
      <c r="R160">
        <f>IF(BikeData[[#This Row],[yr]]=0,2011,2012)</f>
        <v>2011</v>
      </c>
      <c r="S160" t="str">
        <f>CHOOSE(BikeData[[#This Row],[season]],"Winter","Spring","Summer","Fall")</f>
        <v>Spring</v>
      </c>
      <c r="T160" t="str">
        <f>TEXT(DATE(2000,BikeData[[#This Row],[mnth]],1),"mmmm")</f>
        <v>June</v>
      </c>
      <c r="U160" t="str">
        <f>IF(BikeData[[#This Row],[workingday]]=1,"Working Day","Non-working Day")</f>
        <v>Working Day</v>
      </c>
      <c r="V160" t="str">
        <f>CHOOSE(BikeData[[#This Row],[weekday]]+1,"Sunday","Monday","Tuesday","Wednesday","Thursday","Friday","Saturday")</f>
        <v>Wednesday</v>
      </c>
      <c r="W160" t="str">
        <f>CHOOSE(BikeData[[#This Row],[weathersit]],"Clear / Few Clouds","Mist / Cloudy","Light Rain / Snow","Heavy Rain / Snow")</f>
        <v>Clear / Few Clouds</v>
      </c>
    </row>
    <row r="161" spans="1:23" x14ac:dyDescent="0.3">
      <c r="A161">
        <v>160</v>
      </c>
      <c r="B161" s="1">
        <v>40703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>
        <v>0.80833299999999997</v>
      </c>
      <c r="K161">
        <v>0.757579</v>
      </c>
      <c r="L161">
        <v>0.56833299999999998</v>
      </c>
      <c r="M161">
        <v>0.14988299999999999</v>
      </c>
      <c r="N161">
        <v>563</v>
      </c>
      <c r="O161">
        <v>3352</v>
      </c>
      <c r="P161">
        <v>3915</v>
      </c>
      <c r="Q161" t="str">
        <f>IF(BikeData[[#This Row],[casual]]+BikeData[[#This Row],[registered]]=BikeData[[#This Row],[cnt]],"OK","Check")</f>
        <v>OK</v>
      </c>
      <c r="R161">
        <f>IF(BikeData[[#This Row],[yr]]=0,2011,2012)</f>
        <v>2011</v>
      </c>
      <c r="S161" t="str">
        <f>CHOOSE(BikeData[[#This Row],[season]],"Winter","Spring","Summer","Fall")</f>
        <v>Spring</v>
      </c>
      <c r="T161" t="str">
        <f>TEXT(DATE(2000,BikeData[[#This Row],[mnth]],1),"mmmm")</f>
        <v>June</v>
      </c>
      <c r="U161" t="str">
        <f>IF(BikeData[[#This Row],[workingday]]=1,"Working Day","Non-working Day")</f>
        <v>Working Day</v>
      </c>
      <c r="V161" t="str">
        <f>CHOOSE(BikeData[[#This Row],[weekday]]+1,"Sunday","Monday","Tuesday","Wednesday","Thursday","Friday","Saturday")</f>
        <v>Thursday</v>
      </c>
      <c r="W161" t="str">
        <f>CHOOSE(BikeData[[#This Row],[weathersit]],"Clear / Few Clouds","Mist / Cloudy","Light Rain / Snow","Heavy Rain / Snow")</f>
        <v>Mist / Cloudy</v>
      </c>
    </row>
    <row r="162" spans="1:23" x14ac:dyDescent="0.3">
      <c r="A162">
        <v>161</v>
      </c>
      <c r="B162" s="1">
        <v>40704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>
        <v>0.755</v>
      </c>
      <c r="K162">
        <v>0.70329200000000003</v>
      </c>
      <c r="L162">
        <v>0.60499999999999998</v>
      </c>
      <c r="M162">
        <v>0.14055400000000001</v>
      </c>
      <c r="N162">
        <v>815</v>
      </c>
      <c r="O162">
        <v>3771</v>
      </c>
      <c r="P162">
        <v>4586</v>
      </c>
      <c r="Q162" t="str">
        <f>IF(BikeData[[#This Row],[casual]]+BikeData[[#This Row],[registered]]=BikeData[[#This Row],[cnt]],"OK","Check")</f>
        <v>OK</v>
      </c>
      <c r="R162">
        <f>IF(BikeData[[#This Row],[yr]]=0,2011,2012)</f>
        <v>2011</v>
      </c>
      <c r="S162" t="str">
        <f>CHOOSE(BikeData[[#This Row],[season]],"Winter","Spring","Summer","Fall")</f>
        <v>Spring</v>
      </c>
      <c r="T162" t="str">
        <f>TEXT(DATE(2000,BikeData[[#This Row],[mnth]],1),"mmmm")</f>
        <v>June</v>
      </c>
      <c r="U162" t="str">
        <f>IF(BikeData[[#This Row],[workingday]]=1,"Working Day","Non-working Day")</f>
        <v>Working Day</v>
      </c>
      <c r="V162" t="str">
        <f>CHOOSE(BikeData[[#This Row],[weekday]]+1,"Sunday","Monday","Tuesday","Wednesday","Thursday","Friday","Saturday")</f>
        <v>Friday</v>
      </c>
      <c r="W162" t="str">
        <f>CHOOSE(BikeData[[#This Row],[weathersit]],"Clear / Few Clouds","Mist / Cloudy","Light Rain / Snow","Heavy Rain / Snow")</f>
        <v>Clear / Few Clouds</v>
      </c>
    </row>
    <row r="163" spans="1:23" x14ac:dyDescent="0.3">
      <c r="A163">
        <v>162</v>
      </c>
      <c r="B163" s="1">
        <v>40705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>
        <v>0.72499999999999998</v>
      </c>
      <c r="K163">
        <v>0.67803800000000003</v>
      </c>
      <c r="L163">
        <v>0.65458300000000003</v>
      </c>
      <c r="M163">
        <v>0.15484999999999999</v>
      </c>
      <c r="N163">
        <v>1729</v>
      </c>
      <c r="O163">
        <v>3237</v>
      </c>
      <c r="P163">
        <v>4966</v>
      </c>
      <c r="Q163" t="str">
        <f>IF(BikeData[[#This Row],[casual]]+BikeData[[#This Row],[registered]]=BikeData[[#This Row],[cnt]],"OK","Check")</f>
        <v>OK</v>
      </c>
      <c r="R163">
        <f>IF(BikeData[[#This Row],[yr]]=0,2011,2012)</f>
        <v>2011</v>
      </c>
      <c r="S163" t="str">
        <f>CHOOSE(BikeData[[#This Row],[season]],"Winter","Spring","Summer","Fall")</f>
        <v>Spring</v>
      </c>
      <c r="T163" t="str">
        <f>TEXT(DATE(2000,BikeData[[#This Row],[mnth]],1),"mmmm")</f>
        <v>June</v>
      </c>
      <c r="U163" t="str">
        <f>IF(BikeData[[#This Row],[workingday]]=1,"Working Day","Non-working Day")</f>
        <v>Non-working Day</v>
      </c>
      <c r="V163" t="str">
        <f>CHOOSE(BikeData[[#This Row],[weekday]]+1,"Sunday","Monday","Tuesday","Wednesday","Thursday","Friday","Saturday")</f>
        <v>Saturday</v>
      </c>
      <c r="W163" t="str">
        <f>CHOOSE(BikeData[[#This Row],[weathersit]],"Clear / Few Clouds","Mist / Cloudy","Light Rain / Snow","Heavy Rain / Snow")</f>
        <v>Clear / Few Clouds</v>
      </c>
    </row>
    <row r="164" spans="1:23" x14ac:dyDescent="0.3">
      <c r="A164">
        <v>163</v>
      </c>
      <c r="B164" s="1">
        <v>40706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>
        <v>0.6925</v>
      </c>
      <c r="K164">
        <v>0.64332500000000004</v>
      </c>
      <c r="L164">
        <v>0.74791700000000005</v>
      </c>
      <c r="M164">
        <v>0.16356699999999999</v>
      </c>
      <c r="N164">
        <v>1467</v>
      </c>
      <c r="O164">
        <v>2993</v>
      </c>
      <c r="P164">
        <v>4460</v>
      </c>
      <c r="Q164" t="str">
        <f>IF(BikeData[[#This Row],[casual]]+BikeData[[#This Row],[registered]]=BikeData[[#This Row],[cnt]],"OK","Check")</f>
        <v>OK</v>
      </c>
      <c r="R164">
        <f>IF(BikeData[[#This Row],[yr]]=0,2011,2012)</f>
        <v>2011</v>
      </c>
      <c r="S164" t="str">
        <f>CHOOSE(BikeData[[#This Row],[season]],"Winter","Spring","Summer","Fall")</f>
        <v>Spring</v>
      </c>
      <c r="T164" t="str">
        <f>TEXT(DATE(2000,BikeData[[#This Row],[mnth]],1),"mmmm")</f>
        <v>June</v>
      </c>
      <c r="U164" t="str">
        <f>IF(BikeData[[#This Row],[workingday]]=1,"Working Day","Non-working Day")</f>
        <v>Non-working Day</v>
      </c>
      <c r="V164" t="str">
        <f>CHOOSE(BikeData[[#This Row],[weekday]]+1,"Sunday","Monday","Tuesday","Wednesday","Thursday","Friday","Saturday")</f>
        <v>Sunday</v>
      </c>
      <c r="W164" t="str">
        <f>CHOOSE(BikeData[[#This Row],[weathersit]],"Clear / Few Clouds","Mist / Cloudy","Light Rain / Snow","Heavy Rain / Snow")</f>
        <v>Clear / Few Clouds</v>
      </c>
    </row>
    <row r="165" spans="1:23" x14ac:dyDescent="0.3">
      <c r="A165">
        <v>164</v>
      </c>
      <c r="B165" s="1">
        <v>40707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>
        <v>0.63500000000000001</v>
      </c>
      <c r="K165">
        <v>0.60165400000000002</v>
      </c>
      <c r="L165">
        <v>0.49458299999999999</v>
      </c>
      <c r="M165">
        <v>0.30535000000000001</v>
      </c>
      <c r="N165">
        <v>863</v>
      </c>
      <c r="O165">
        <v>4157</v>
      </c>
      <c r="P165">
        <v>5020</v>
      </c>
      <c r="Q165" t="str">
        <f>IF(BikeData[[#This Row],[casual]]+BikeData[[#This Row],[registered]]=BikeData[[#This Row],[cnt]],"OK","Check")</f>
        <v>OK</v>
      </c>
      <c r="R165">
        <f>IF(BikeData[[#This Row],[yr]]=0,2011,2012)</f>
        <v>2011</v>
      </c>
      <c r="S165" t="str">
        <f>CHOOSE(BikeData[[#This Row],[season]],"Winter","Spring","Summer","Fall")</f>
        <v>Spring</v>
      </c>
      <c r="T165" t="str">
        <f>TEXT(DATE(2000,BikeData[[#This Row],[mnth]],1),"mmmm")</f>
        <v>June</v>
      </c>
      <c r="U165" t="str">
        <f>IF(BikeData[[#This Row],[workingday]]=1,"Working Day","Non-working Day")</f>
        <v>Working Day</v>
      </c>
      <c r="V165" t="str">
        <f>CHOOSE(BikeData[[#This Row],[weekday]]+1,"Sunday","Monday","Tuesday","Wednesday","Thursday","Friday","Saturday")</f>
        <v>Monday</v>
      </c>
      <c r="W165" t="str">
        <f>CHOOSE(BikeData[[#This Row],[weathersit]],"Clear / Few Clouds","Mist / Cloudy","Light Rain / Snow","Heavy Rain / Snow")</f>
        <v>Clear / Few Clouds</v>
      </c>
    </row>
    <row r="166" spans="1:23" x14ac:dyDescent="0.3">
      <c r="A166">
        <v>165</v>
      </c>
      <c r="B166" s="1">
        <v>40708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>
        <v>0.60416700000000001</v>
      </c>
      <c r="K166">
        <v>0.59154600000000002</v>
      </c>
      <c r="L166">
        <v>0.50708299999999995</v>
      </c>
      <c r="M166">
        <v>0.26928299999999999</v>
      </c>
      <c r="N166">
        <v>727</v>
      </c>
      <c r="O166">
        <v>4164</v>
      </c>
      <c r="P166">
        <v>4891</v>
      </c>
      <c r="Q166" t="str">
        <f>IF(BikeData[[#This Row],[casual]]+BikeData[[#This Row],[registered]]=BikeData[[#This Row],[cnt]],"OK","Check")</f>
        <v>OK</v>
      </c>
      <c r="R166">
        <f>IF(BikeData[[#This Row],[yr]]=0,2011,2012)</f>
        <v>2011</v>
      </c>
      <c r="S166" t="str">
        <f>CHOOSE(BikeData[[#This Row],[season]],"Winter","Spring","Summer","Fall")</f>
        <v>Spring</v>
      </c>
      <c r="T166" t="str">
        <f>TEXT(DATE(2000,BikeData[[#This Row],[mnth]],1),"mmmm")</f>
        <v>June</v>
      </c>
      <c r="U166" t="str">
        <f>IF(BikeData[[#This Row],[workingday]]=1,"Working Day","Non-working Day")</f>
        <v>Working Day</v>
      </c>
      <c r="V166" t="str">
        <f>CHOOSE(BikeData[[#This Row],[weekday]]+1,"Sunday","Monday","Tuesday","Wednesday","Thursday","Friday","Saturday")</f>
        <v>Tuesday</v>
      </c>
      <c r="W166" t="str">
        <f>CHOOSE(BikeData[[#This Row],[weathersit]],"Clear / Few Clouds","Mist / Cloudy","Light Rain / Snow","Heavy Rain / Snow")</f>
        <v>Clear / Few Clouds</v>
      </c>
    </row>
    <row r="167" spans="1:23" x14ac:dyDescent="0.3">
      <c r="A167">
        <v>166</v>
      </c>
      <c r="B167" s="1">
        <v>40709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>
        <v>0.62666699999999997</v>
      </c>
      <c r="K167">
        <v>0.587754</v>
      </c>
      <c r="L167">
        <v>0.471667</v>
      </c>
      <c r="M167">
        <v>0.16791200000000001</v>
      </c>
      <c r="N167">
        <v>769</v>
      </c>
      <c r="O167">
        <v>4411</v>
      </c>
      <c r="P167">
        <v>5180</v>
      </c>
      <c r="Q167" t="str">
        <f>IF(BikeData[[#This Row],[casual]]+BikeData[[#This Row],[registered]]=BikeData[[#This Row],[cnt]],"OK","Check")</f>
        <v>OK</v>
      </c>
      <c r="R167">
        <f>IF(BikeData[[#This Row],[yr]]=0,2011,2012)</f>
        <v>2011</v>
      </c>
      <c r="S167" t="str">
        <f>CHOOSE(BikeData[[#This Row],[season]],"Winter","Spring","Summer","Fall")</f>
        <v>Spring</v>
      </c>
      <c r="T167" t="str">
        <f>TEXT(DATE(2000,BikeData[[#This Row],[mnth]],1),"mmmm")</f>
        <v>June</v>
      </c>
      <c r="U167" t="str">
        <f>IF(BikeData[[#This Row],[workingday]]=1,"Working Day","Non-working Day")</f>
        <v>Working Day</v>
      </c>
      <c r="V167" t="str">
        <f>CHOOSE(BikeData[[#This Row],[weekday]]+1,"Sunday","Monday","Tuesday","Wednesday","Thursday","Friday","Saturday")</f>
        <v>Wednesday</v>
      </c>
      <c r="W167" t="str">
        <f>CHOOSE(BikeData[[#This Row],[weathersit]],"Clear / Few Clouds","Mist / Cloudy","Light Rain / Snow","Heavy Rain / Snow")</f>
        <v>Clear / Few Clouds</v>
      </c>
    </row>
    <row r="168" spans="1:23" x14ac:dyDescent="0.3">
      <c r="A168">
        <v>167</v>
      </c>
      <c r="B168" s="1">
        <v>40710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>
        <v>0.62833300000000003</v>
      </c>
      <c r="K168">
        <v>0.59534600000000004</v>
      </c>
      <c r="L168">
        <v>0.68833299999999997</v>
      </c>
      <c r="M168">
        <v>0.20647099999999999</v>
      </c>
      <c r="N168">
        <v>545</v>
      </c>
      <c r="O168">
        <v>3222</v>
      </c>
      <c r="P168">
        <v>3767</v>
      </c>
      <c r="Q168" t="str">
        <f>IF(BikeData[[#This Row],[casual]]+BikeData[[#This Row],[registered]]=BikeData[[#This Row],[cnt]],"OK","Check")</f>
        <v>OK</v>
      </c>
      <c r="R168">
        <f>IF(BikeData[[#This Row],[yr]]=0,2011,2012)</f>
        <v>2011</v>
      </c>
      <c r="S168" t="str">
        <f>CHOOSE(BikeData[[#This Row],[season]],"Winter","Spring","Summer","Fall")</f>
        <v>Spring</v>
      </c>
      <c r="T168" t="str">
        <f>TEXT(DATE(2000,BikeData[[#This Row],[mnth]],1),"mmmm")</f>
        <v>June</v>
      </c>
      <c r="U168" t="str">
        <f>IF(BikeData[[#This Row],[workingday]]=1,"Working Day","Non-working Day")</f>
        <v>Working Day</v>
      </c>
      <c r="V168" t="str">
        <f>CHOOSE(BikeData[[#This Row],[weekday]]+1,"Sunday","Monday","Tuesday","Wednesday","Thursday","Friday","Saturday")</f>
        <v>Thursday</v>
      </c>
      <c r="W168" t="str">
        <f>CHOOSE(BikeData[[#This Row],[weathersit]],"Clear / Few Clouds","Mist / Cloudy","Light Rain / Snow","Heavy Rain / Snow")</f>
        <v>Mist / Cloudy</v>
      </c>
    </row>
    <row r="169" spans="1:23" x14ac:dyDescent="0.3">
      <c r="A169">
        <v>168</v>
      </c>
      <c r="B169" s="1">
        <v>40711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>
        <v>0.64916700000000005</v>
      </c>
      <c r="K169">
        <v>0.600383</v>
      </c>
      <c r="L169">
        <v>0.73583299999999996</v>
      </c>
      <c r="M169">
        <v>0.14302899999999999</v>
      </c>
      <c r="N169">
        <v>863</v>
      </c>
      <c r="O169">
        <v>3981</v>
      </c>
      <c r="P169">
        <v>4844</v>
      </c>
      <c r="Q169" t="str">
        <f>IF(BikeData[[#This Row],[casual]]+BikeData[[#This Row],[registered]]=BikeData[[#This Row],[cnt]],"OK","Check")</f>
        <v>OK</v>
      </c>
      <c r="R169">
        <f>IF(BikeData[[#This Row],[yr]]=0,2011,2012)</f>
        <v>2011</v>
      </c>
      <c r="S169" t="str">
        <f>CHOOSE(BikeData[[#This Row],[season]],"Winter","Spring","Summer","Fall")</f>
        <v>Spring</v>
      </c>
      <c r="T169" t="str">
        <f>TEXT(DATE(2000,BikeData[[#This Row],[mnth]],1),"mmmm")</f>
        <v>June</v>
      </c>
      <c r="U169" t="str">
        <f>IF(BikeData[[#This Row],[workingday]]=1,"Working Day","Non-working Day")</f>
        <v>Working Day</v>
      </c>
      <c r="V169" t="str">
        <f>CHOOSE(BikeData[[#This Row],[weekday]]+1,"Sunday","Monday","Tuesday","Wednesday","Thursday","Friday","Saturday")</f>
        <v>Friday</v>
      </c>
      <c r="W169" t="str">
        <f>CHOOSE(BikeData[[#This Row],[weathersit]],"Clear / Few Clouds","Mist / Cloudy","Light Rain / Snow","Heavy Rain / Snow")</f>
        <v>Clear / Few Clouds</v>
      </c>
    </row>
    <row r="170" spans="1:23" x14ac:dyDescent="0.3">
      <c r="A170">
        <v>169</v>
      </c>
      <c r="B170" s="1">
        <v>40712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>
        <v>0.69666700000000004</v>
      </c>
      <c r="K170">
        <v>0.64395400000000003</v>
      </c>
      <c r="L170">
        <v>0.67041700000000004</v>
      </c>
      <c r="M170">
        <v>0.119408</v>
      </c>
      <c r="N170">
        <v>1807</v>
      </c>
      <c r="O170">
        <v>3312</v>
      </c>
      <c r="P170">
        <v>5119</v>
      </c>
      <c r="Q170" t="str">
        <f>IF(BikeData[[#This Row],[casual]]+BikeData[[#This Row],[registered]]=BikeData[[#This Row],[cnt]],"OK","Check")</f>
        <v>OK</v>
      </c>
      <c r="R170">
        <f>IF(BikeData[[#This Row],[yr]]=0,2011,2012)</f>
        <v>2011</v>
      </c>
      <c r="S170" t="str">
        <f>CHOOSE(BikeData[[#This Row],[season]],"Winter","Spring","Summer","Fall")</f>
        <v>Spring</v>
      </c>
      <c r="T170" t="str">
        <f>TEXT(DATE(2000,BikeData[[#This Row],[mnth]],1),"mmmm")</f>
        <v>June</v>
      </c>
      <c r="U170" t="str">
        <f>IF(BikeData[[#This Row],[workingday]]=1,"Working Day","Non-working Day")</f>
        <v>Non-working Day</v>
      </c>
      <c r="V170" t="str">
        <f>CHOOSE(BikeData[[#This Row],[weekday]]+1,"Sunday","Monday","Tuesday","Wednesday","Thursday","Friday","Saturday")</f>
        <v>Saturday</v>
      </c>
      <c r="W170" t="str">
        <f>CHOOSE(BikeData[[#This Row],[weathersit]],"Clear / Few Clouds","Mist / Cloudy","Light Rain / Snow","Heavy Rain / Snow")</f>
        <v>Clear / Few Clouds</v>
      </c>
    </row>
    <row r="171" spans="1:23" x14ac:dyDescent="0.3">
      <c r="A171">
        <v>170</v>
      </c>
      <c r="B171" s="1">
        <v>40713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>
        <v>0.69916699999999998</v>
      </c>
      <c r="K171">
        <v>0.64584600000000003</v>
      </c>
      <c r="L171">
        <v>0.66666700000000001</v>
      </c>
      <c r="M171">
        <v>0.10199999999999999</v>
      </c>
      <c r="N171">
        <v>1639</v>
      </c>
      <c r="O171">
        <v>3105</v>
      </c>
      <c r="P171">
        <v>4744</v>
      </c>
      <c r="Q171" t="str">
        <f>IF(BikeData[[#This Row],[casual]]+BikeData[[#This Row],[registered]]=BikeData[[#This Row],[cnt]],"OK","Check")</f>
        <v>OK</v>
      </c>
      <c r="R171">
        <f>IF(BikeData[[#This Row],[yr]]=0,2011,2012)</f>
        <v>2011</v>
      </c>
      <c r="S171" t="str">
        <f>CHOOSE(BikeData[[#This Row],[season]],"Winter","Spring","Summer","Fall")</f>
        <v>Spring</v>
      </c>
      <c r="T171" t="str">
        <f>TEXT(DATE(2000,BikeData[[#This Row],[mnth]],1),"mmmm")</f>
        <v>June</v>
      </c>
      <c r="U171" t="str">
        <f>IF(BikeData[[#This Row],[workingday]]=1,"Working Day","Non-working Day")</f>
        <v>Non-working Day</v>
      </c>
      <c r="V171" t="str">
        <f>CHOOSE(BikeData[[#This Row],[weekday]]+1,"Sunday","Monday","Tuesday","Wednesday","Thursday","Friday","Saturday")</f>
        <v>Sunday</v>
      </c>
      <c r="W171" t="str">
        <f>CHOOSE(BikeData[[#This Row],[weathersit]],"Clear / Few Clouds","Mist / Cloudy","Light Rain / Snow","Heavy Rain / Snow")</f>
        <v>Mist / Cloudy</v>
      </c>
    </row>
    <row r="172" spans="1:23" x14ac:dyDescent="0.3">
      <c r="A172">
        <v>171</v>
      </c>
      <c r="B172" s="1">
        <v>40714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>
        <v>0.63500000000000001</v>
      </c>
      <c r="K172">
        <v>0.59534600000000004</v>
      </c>
      <c r="L172">
        <v>0.74624999999999997</v>
      </c>
      <c r="M172">
        <v>0.155475</v>
      </c>
      <c r="N172">
        <v>699</v>
      </c>
      <c r="O172">
        <v>3311</v>
      </c>
      <c r="P172">
        <v>4010</v>
      </c>
      <c r="Q172" t="str">
        <f>IF(BikeData[[#This Row],[casual]]+BikeData[[#This Row],[registered]]=BikeData[[#This Row],[cnt]],"OK","Check")</f>
        <v>OK</v>
      </c>
      <c r="R172">
        <f>IF(BikeData[[#This Row],[yr]]=0,2011,2012)</f>
        <v>2011</v>
      </c>
      <c r="S172" t="str">
        <f>CHOOSE(BikeData[[#This Row],[season]],"Winter","Spring","Summer","Fall")</f>
        <v>Spring</v>
      </c>
      <c r="T172" t="str">
        <f>TEXT(DATE(2000,BikeData[[#This Row],[mnth]],1),"mmmm")</f>
        <v>June</v>
      </c>
      <c r="U172" t="str">
        <f>IF(BikeData[[#This Row],[workingday]]=1,"Working Day","Non-working Day")</f>
        <v>Working Day</v>
      </c>
      <c r="V172" t="str">
        <f>CHOOSE(BikeData[[#This Row],[weekday]]+1,"Sunday","Monday","Tuesday","Wednesday","Thursday","Friday","Saturday")</f>
        <v>Monday</v>
      </c>
      <c r="W172" t="str">
        <f>CHOOSE(BikeData[[#This Row],[weathersit]],"Clear / Few Clouds","Mist / Cloudy","Light Rain / Snow","Heavy Rain / Snow")</f>
        <v>Mist / Cloudy</v>
      </c>
    </row>
    <row r="173" spans="1:23" x14ac:dyDescent="0.3">
      <c r="A173">
        <v>172</v>
      </c>
      <c r="B173" s="1">
        <v>40715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>
        <v>0.68083300000000002</v>
      </c>
      <c r="K173">
        <v>0.63764600000000005</v>
      </c>
      <c r="L173">
        <v>0.77041700000000002</v>
      </c>
      <c r="M173">
        <v>0.17102500000000001</v>
      </c>
      <c r="N173">
        <v>774</v>
      </c>
      <c r="O173">
        <v>4061</v>
      </c>
      <c r="P173">
        <v>4835</v>
      </c>
      <c r="Q173" t="str">
        <f>IF(BikeData[[#This Row],[casual]]+BikeData[[#This Row],[registered]]=BikeData[[#This Row],[cnt]],"OK","Check")</f>
        <v>OK</v>
      </c>
      <c r="R173">
        <f>IF(BikeData[[#This Row],[yr]]=0,2011,2012)</f>
        <v>2011</v>
      </c>
      <c r="S173" t="str">
        <f>CHOOSE(BikeData[[#This Row],[season]],"Winter","Spring","Summer","Fall")</f>
        <v>Summer</v>
      </c>
      <c r="T173" t="str">
        <f>TEXT(DATE(2000,BikeData[[#This Row],[mnth]],1),"mmmm")</f>
        <v>June</v>
      </c>
      <c r="U173" t="str">
        <f>IF(BikeData[[#This Row],[workingday]]=1,"Working Day","Non-working Day")</f>
        <v>Working Day</v>
      </c>
      <c r="V173" t="str">
        <f>CHOOSE(BikeData[[#This Row],[weekday]]+1,"Sunday","Monday","Tuesday","Wednesday","Thursday","Friday","Saturday")</f>
        <v>Tuesday</v>
      </c>
      <c r="W173" t="str">
        <f>CHOOSE(BikeData[[#This Row],[weathersit]],"Clear / Few Clouds","Mist / Cloudy","Light Rain / Snow","Heavy Rain / Snow")</f>
        <v>Mist / Cloudy</v>
      </c>
    </row>
    <row r="174" spans="1:23" x14ac:dyDescent="0.3">
      <c r="A174">
        <v>173</v>
      </c>
      <c r="B174" s="1">
        <v>40716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>
        <v>0.73333300000000001</v>
      </c>
      <c r="K174">
        <v>0.69382900000000003</v>
      </c>
      <c r="L174">
        <v>0.70750000000000002</v>
      </c>
      <c r="M174">
        <v>0.172262</v>
      </c>
      <c r="N174">
        <v>661</v>
      </c>
      <c r="O174">
        <v>3846</v>
      </c>
      <c r="P174">
        <v>4507</v>
      </c>
      <c r="Q174" t="str">
        <f>IF(BikeData[[#This Row],[casual]]+BikeData[[#This Row],[registered]]=BikeData[[#This Row],[cnt]],"OK","Check")</f>
        <v>OK</v>
      </c>
      <c r="R174">
        <f>IF(BikeData[[#This Row],[yr]]=0,2011,2012)</f>
        <v>2011</v>
      </c>
      <c r="S174" t="str">
        <f>CHOOSE(BikeData[[#This Row],[season]],"Winter","Spring","Summer","Fall")</f>
        <v>Summer</v>
      </c>
      <c r="T174" t="str">
        <f>TEXT(DATE(2000,BikeData[[#This Row],[mnth]],1),"mmmm")</f>
        <v>June</v>
      </c>
      <c r="U174" t="str">
        <f>IF(BikeData[[#This Row],[workingday]]=1,"Working Day","Non-working Day")</f>
        <v>Working Day</v>
      </c>
      <c r="V174" t="str">
        <f>CHOOSE(BikeData[[#This Row],[weekday]]+1,"Sunday","Monday","Tuesday","Wednesday","Thursday","Friday","Saturday")</f>
        <v>Wednesday</v>
      </c>
      <c r="W174" t="str">
        <f>CHOOSE(BikeData[[#This Row],[weathersit]],"Clear / Few Clouds","Mist / Cloudy","Light Rain / Snow","Heavy Rain / Snow")</f>
        <v>Clear / Few Clouds</v>
      </c>
    </row>
    <row r="175" spans="1:23" x14ac:dyDescent="0.3">
      <c r="A175">
        <v>174</v>
      </c>
      <c r="B175" s="1">
        <v>40717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>
        <v>0.72833300000000001</v>
      </c>
      <c r="K175">
        <v>0.69383300000000003</v>
      </c>
      <c r="L175">
        <v>0.70333299999999999</v>
      </c>
      <c r="M175">
        <v>0.23880399999999999</v>
      </c>
      <c r="N175">
        <v>746</v>
      </c>
      <c r="O175">
        <v>4044</v>
      </c>
      <c r="P175">
        <v>4790</v>
      </c>
      <c r="Q175" t="str">
        <f>IF(BikeData[[#This Row],[casual]]+BikeData[[#This Row],[registered]]=BikeData[[#This Row],[cnt]],"OK","Check")</f>
        <v>OK</v>
      </c>
      <c r="R175">
        <f>IF(BikeData[[#This Row],[yr]]=0,2011,2012)</f>
        <v>2011</v>
      </c>
      <c r="S175" t="str">
        <f>CHOOSE(BikeData[[#This Row],[season]],"Winter","Spring","Summer","Fall")</f>
        <v>Summer</v>
      </c>
      <c r="T175" t="str">
        <f>TEXT(DATE(2000,BikeData[[#This Row],[mnth]],1),"mmmm")</f>
        <v>June</v>
      </c>
      <c r="U175" t="str">
        <f>IF(BikeData[[#This Row],[workingday]]=1,"Working Day","Non-working Day")</f>
        <v>Working Day</v>
      </c>
      <c r="V175" t="str">
        <f>CHOOSE(BikeData[[#This Row],[weekday]]+1,"Sunday","Monday","Tuesday","Wednesday","Thursday","Friday","Saturday")</f>
        <v>Thursday</v>
      </c>
      <c r="W175" t="str">
        <f>CHOOSE(BikeData[[#This Row],[weathersit]],"Clear / Few Clouds","Mist / Cloudy","Light Rain / Snow","Heavy Rain / Snow")</f>
        <v>Mist / Cloudy</v>
      </c>
    </row>
    <row r="176" spans="1:23" x14ac:dyDescent="0.3">
      <c r="A176">
        <v>175</v>
      </c>
      <c r="B176" s="1">
        <v>40718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>
        <v>0.72416700000000001</v>
      </c>
      <c r="K176">
        <v>0.65658300000000003</v>
      </c>
      <c r="L176">
        <v>0.57333299999999998</v>
      </c>
      <c r="M176">
        <v>0.222025</v>
      </c>
      <c r="N176">
        <v>969</v>
      </c>
      <c r="O176">
        <v>4022</v>
      </c>
      <c r="P176">
        <v>4991</v>
      </c>
      <c r="Q176" t="str">
        <f>IF(BikeData[[#This Row],[casual]]+BikeData[[#This Row],[registered]]=BikeData[[#This Row],[cnt]],"OK","Check")</f>
        <v>OK</v>
      </c>
      <c r="R176">
        <f>IF(BikeData[[#This Row],[yr]]=0,2011,2012)</f>
        <v>2011</v>
      </c>
      <c r="S176" t="str">
        <f>CHOOSE(BikeData[[#This Row],[season]],"Winter","Spring","Summer","Fall")</f>
        <v>Summer</v>
      </c>
      <c r="T176" t="str">
        <f>TEXT(DATE(2000,BikeData[[#This Row],[mnth]],1),"mmmm")</f>
        <v>June</v>
      </c>
      <c r="U176" t="str">
        <f>IF(BikeData[[#This Row],[workingday]]=1,"Working Day","Non-working Day")</f>
        <v>Working Day</v>
      </c>
      <c r="V176" t="str">
        <f>CHOOSE(BikeData[[#This Row],[weekday]]+1,"Sunday","Monday","Tuesday","Wednesday","Thursday","Friday","Saturday")</f>
        <v>Friday</v>
      </c>
      <c r="W176" t="str">
        <f>CHOOSE(BikeData[[#This Row],[weathersit]],"Clear / Few Clouds","Mist / Cloudy","Light Rain / Snow","Heavy Rain / Snow")</f>
        <v>Clear / Few Clouds</v>
      </c>
    </row>
    <row r="177" spans="1:23" x14ac:dyDescent="0.3">
      <c r="A177">
        <v>176</v>
      </c>
      <c r="B177" s="1">
        <v>40719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>
        <v>0.69499999999999995</v>
      </c>
      <c r="K177">
        <v>0.64331300000000002</v>
      </c>
      <c r="L177">
        <v>0.48333300000000001</v>
      </c>
      <c r="M177">
        <v>0.20957100000000001</v>
      </c>
      <c r="N177">
        <v>1782</v>
      </c>
      <c r="O177">
        <v>3420</v>
      </c>
      <c r="P177">
        <v>5202</v>
      </c>
      <c r="Q177" t="str">
        <f>IF(BikeData[[#This Row],[casual]]+BikeData[[#This Row],[registered]]=BikeData[[#This Row],[cnt]],"OK","Check")</f>
        <v>OK</v>
      </c>
      <c r="R177">
        <f>IF(BikeData[[#This Row],[yr]]=0,2011,2012)</f>
        <v>2011</v>
      </c>
      <c r="S177" t="str">
        <f>CHOOSE(BikeData[[#This Row],[season]],"Winter","Spring","Summer","Fall")</f>
        <v>Summer</v>
      </c>
      <c r="T177" t="str">
        <f>TEXT(DATE(2000,BikeData[[#This Row],[mnth]],1),"mmmm")</f>
        <v>June</v>
      </c>
      <c r="U177" t="str">
        <f>IF(BikeData[[#This Row],[workingday]]=1,"Working Day","Non-working Day")</f>
        <v>Non-working Day</v>
      </c>
      <c r="V177" t="str">
        <f>CHOOSE(BikeData[[#This Row],[weekday]]+1,"Sunday","Monday","Tuesday","Wednesday","Thursday","Friday","Saturday")</f>
        <v>Saturday</v>
      </c>
      <c r="W177" t="str">
        <f>CHOOSE(BikeData[[#This Row],[weathersit]],"Clear / Few Clouds","Mist / Cloudy","Light Rain / Snow","Heavy Rain / Snow")</f>
        <v>Clear / Few Clouds</v>
      </c>
    </row>
    <row r="178" spans="1:23" x14ac:dyDescent="0.3">
      <c r="A178">
        <v>177</v>
      </c>
      <c r="B178" s="1">
        <v>40720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>
        <v>0.68</v>
      </c>
      <c r="K178">
        <v>0.637629</v>
      </c>
      <c r="L178">
        <v>0.51333300000000004</v>
      </c>
      <c r="M178">
        <v>9.4533300000000001E-2</v>
      </c>
      <c r="N178">
        <v>1920</v>
      </c>
      <c r="O178">
        <v>3385</v>
      </c>
      <c r="P178">
        <v>5305</v>
      </c>
      <c r="Q178" t="str">
        <f>IF(BikeData[[#This Row],[casual]]+BikeData[[#This Row],[registered]]=BikeData[[#This Row],[cnt]],"OK","Check")</f>
        <v>OK</v>
      </c>
      <c r="R178">
        <f>IF(BikeData[[#This Row],[yr]]=0,2011,2012)</f>
        <v>2011</v>
      </c>
      <c r="S178" t="str">
        <f>CHOOSE(BikeData[[#This Row],[season]],"Winter","Spring","Summer","Fall")</f>
        <v>Summer</v>
      </c>
      <c r="T178" t="str">
        <f>TEXT(DATE(2000,BikeData[[#This Row],[mnth]],1),"mmmm")</f>
        <v>June</v>
      </c>
      <c r="U178" t="str">
        <f>IF(BikeData[[#This Row],[workingday]]=1,"Working Day","Non-working Day")</f>
        <v>Non-working Day</v>
      </c>
      <c r="V178" t="str">
        <f>CHOOSE(BikeData[[#This Row],[weekday]]+1,"Sunday","Monday","Tuesday","Wednesday","Thursday","Friday","Saturday")</f>
        <v>Sunday</v>
      </c>
      <c r="W178" t="str">
        <f>CHOOSE(BikeData[[#This Row],[weathersit]],"Clear / Few Clouds","Mist / Cloudy","Light Rain / Snow","Heavy Rain / Snow")</f>
        <v>Clear / Few Clouds</v>
      </c>
    </row>
    <row r="179" spans="1:23" x14ac:dyDescent="0.3">
      <c r="A179">
        <v>178</v>
      </c>
      <c r="B179" s="1">
        <v>40721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>
        <v>0.6825</v>
      </c>
      <c r="K179">
        <v>0.63700400000000001</v>
      </c>
      <c r="L179">
        <v>0.65833299999999995</v>
      </c>
      <c r="M179">
        <v>0.107588</v>
      </c>
      <c r="N179">
        <v>854</v>
      </c>
      <c r="O179">
        <v>3854</v>
      </c>
      <c r="P179">
        <v>4708</v>
      </c>
      <c r="Q179" t="str">
        <f>IF(BikeData[[#This Row],[casual]]+BikeData[[#This Row],[registered]]=BikeData[[#This Row],[cnt]],"OK","Check")</f>
        <v>OK</v>
      </c>
      <c r="R179">
        <f>IF(BikeData[[#This Row],[yr]]=0,2011,2012)</f>
        <v>2011</v>
      </c>
      <c r="S179" t="str">
        <f>CHOOSE(BikeData[[#This Row],[season]],"Winter","Spring","Summer","Fall")</f>
        <v>Summer</v>
      </c>
      <c r="T179" t="str">
        <f>TEXT(DATE(2000,BikeData[[#This Row],[mnth]],1),"mmmm")</f>
        <v>June</v>
      </c>
      <c r="U179" t="str">
        <f>IF(BikeData[[#This Row],[workingday]]=1,"Working Day","Non-working Day")</f>
        <v>Working Day</v>
      </c>
      <c r="V179" t="str">
        <f>CHOOSE(BikeData[[#This Row],[weekday]]+1,"Sunday","Monday","Tuesday","Wednesday","Thursday","Friday","Saturday")</f>
        <v>Monday</v>
      </c>
      <c r="W179" t="str">
        <f>CHOOSE(BikeData[[#This Row],[weathersit]],"Clear / Few Clouds","Mist / Cloudy","Light Rain / Snow","Heavy Rain / Snow")</f>
        <v>Mist / Cloudy</v>
      </c>
    </row>
    <row r="180" spans="1:23" x14ac:dyDescent="0.3">
      <c r="A180">
        <v>179</v>
      </c>
      <c r="B180" s="1">
        <v>40722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>
        <v>0.74416700000000002</v>
      </c>
      <c r="K180">
        <v>0.69255800000000001</v>
      </c>
      <c r="L180">
        <v>0.63416700000000004</v>
      </c>
      <c r="M180">
        <v>0.14428299999999999</v>
      </c>
      <c r="N180">
        <v>732</v>
      </c>
      <c r="O180">
        <v>3916</v>
      </c>
      <c r="P180">
        <v>4648</v>
      </c>
      <c r="Q180" t="str">
        <f>IF(BikeData[[#This Row],[casual]]+BikeData[[#This Row],[registered]]=BikeData[[#This Row],[cnt]],"OK","Check")</f>
        <v>OK</v>
      </c>
      <c r="R180">
        <f>IF(BikeData[[#This Row],[yr]]=0,2011,2012)</f>
        <v>2011</v>
      </c>
      <c r="S180" t="str">
        <f>CHOOSE(BikeData[[#This Row],[season]],"Winter","Spring","Summer","Fall")</f>
        <v>Summer</v>
      </c>
      <c r="T180" t="str">
        <f>TEXT(DATE(2000,BikeData[[#This Row],[mnth]],1),"mmmm")</f>
        <v>June</v>
      </c>
      <c r="U180" t="str">
        <f>IF(BikeData[[#This Row],[workingday]]=1,"Working Day","Non-working Day")</f>
        <v>Working Day</v>
      </c>
      <c r="V180" t="str">
        <f>CHOOSE(BikeData[[#This Row],[weekday]]+1,"Sunday","Monday","Tuesday","Wednesday","Thursday","Friday","Saturday")</f>
        <v>Tuesday</v>
      </c>
      <c r="W180" t="str">
        <f>CHOOSE(BikeData[[#This Row],[weathersit]],"Clear / Few Clouds","Mist / Cloudy","Light Rain / Snow","Heavy Rain / Snow")</f>
        <v>Clear / Few Clouds</v>
      </c>
    </row>
    <row r="181" spans="1:23" x14ac:dyDescent="0.3">
      <c r="A181">
        <v>180</v>
      </c>
      <c r="B181" s="1">
        <v>40723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>
        <v>0.72833300000000001</v>
      </c>
      <c r="K181">
        <v>0.65468800000000005</v>
      </c>
      <c r="L181">
        <v>0.497917</v>
      </c>
      <c r="M181">
        <v>0.26182100000000003</v>
      </c>
      <c r="N181">
        <v>848</v>
      </c>
      <c r="O181">
        <v>4377</v>
      </c>
      <c r="P181">
        <v>5225</v>
      </c>
      <c r="Q181" t="str">
        <f>IF(BikeData[[#This Row],[casual]]+BikeData[[#This Row],[registered]]=BikeData[[#This Row],[cnt]],"OK","Check")</f>
        <v>OK</v>
      </c>
      <c r="R181">
        <f>IF(BikeData[[#This Row],[yr]]=0,2011,2012)</f>
        <v>2011</v>
      </c>
      <c r="S181" t="str">
        <f>CHOOSE(BikeData[[#This Row],[season]],"Winter","Spring","Summer","Fall")</f>
        <v>Summer</v>
      </c>
      <c r="T181" t="str">
        <f>TEXT(DATE(2000,BikeData[[#This Row],[mnth]],1),"mmmm")</f>
        <v>June</v>
      </c>
      <c r="U181" t="str">
        <f>IF(BikeData[[#This Row],[workingday]]=1,"Working Day","Non-working Day")</f>
        <v>Working Day</v>
      </c>
      <c r="V181" t="str">
        <f>CHOOSE(BikeData[[#This Row],[weekday]]+1,"Sunday","Monday","Tuesday","Wednesday","Thursday","Friday","Saturday")</f>
        <v>Wednesday</v>
      </c>
      <c r="W181" t="str">
        <f>CHOOSE(BikeData[[#This Row],[weathersit]],"Clear / Few Clouds","Mist / Cloudy","Light Rain / Snow","Heavy Rain / Snow")</f>
        <v>Clear / Few Clouds</v>
      </c>
    </row>
    <row r="182" spans="1:23" x14ac:dyDescent="0.3">
      <c r="A182">
        <v>181</v>
      </c>
      <c r="B182" s="1">
        <v>40724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>
        <v>0.69666700000000004</v>
      </c>
      <c r="K182">
        <v>0.63700800000000002</v>
      </c>
      <c r="L182">
        <v>0.43416700000000003</v>
      </c>
      <c r="M182">
        <v>0.185312</v>
      </c>
      <c r="N182">
        <v>1027</v>
      </c>
      <c r="O182">
        <v>4488</v>
      </c>
      <c r="P182">
        <v>5515</v>
      </c>
      <c r="Q182" t="str">
        <f>IF(BikeData[[#This Row],[casual]]+BikeData[[#This Row],[registered]]=BikeData[[#This Row],[cnt]],"OK","Check")</f>
        <v>OK</v>
      </c>
      <c r="R182">
        <f>IF(BikeData[[#This Row],[yr]]=0,2011,2012)</f>
        <v>2011</v>
      </c>
      <c r="S182" t="str">
        <f>CHOOSE(BikeData[[#This Row],[season]],"Winter","Spring","Summer","Fall")</f>
        <v>Summer</v>
      </c>
      <c r="T182" t="str">
        <f>TEXT(DATE(2000,BikeData[[#This Row],[mnth]],1),"mmmm")</f>
        <v>June</v>
      </c>
      <c r="U182" t="str">
        <f>IF(BikeData[[#This Row],[workingday]]=1,"Working Day","Non-working Day")</f>
        <v>Working Day</v>
      </c>
      <c r="V182" t="str">
        <f>CHOOSE(BikeData[[#This Row],[weekday]]+1,"Sunday","Monday","Tuesday","Wednesday","Thursday","Friday","Saturday")</f>
        <v>Thursday</v>
      </c>
      <c r="W182" t="str">
        <f>CHOOSE(BikeData[[#This Row],[weathersit]],"Clear / Few Clouds","Mist / Cloudy","Light Rain / Snow","Heavy Rain / Snow")</f>
        <v>Clear / Few Clouds</v>
      </c>
    </row>
    <row r="183" spans="1:23" x14ac:dyDescent="0.3">
      <c r="A183">
        <v>182</v>
      </c>
      <c r="B183" s="1">
        <v>40725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>
        <v>0.72250000000000003</v>
      </c>
      <c r="K183">
        <v>0.65216200000000002</v>
      </c>
      <c r="L183">
        <v>0.39624999999999999</v>
      </c>
      <c r="M183">
        <v>0.102608</v>
      </c>
      <c r="N183">
        <v>1246</v>
      </c>
      <c r="O183">
        <v>4116</v>
      </c>
      <c r="P183">
        <v>5362</v>
      </c>
      <c r="Q183" t="str">
        <f>IF(BikeData[[#This Row],[casual]]+BikeData[[#This Row],[registered]]=BikeData[[#This Row],[cnt]],"OK","Check")</f>
        <v>OK</v>
      </c>
      <c r="R183">
        <f>IF(BikeData[[#This Row],[yr]]=0,2011,2012)</f>
        <v>2011</v>
      </c>
      <c r="S183" t="str">
        <f>CHOOSE(BikeData[[#This Row],[season]],"Winter","Spring","Summer","Fall")</f>
        <v>Summer</v>
      </c>
      <c r="T183" t="str">
        <f>TEXT(DATE(2000,BikeData[[#This Row],[mnth]],1),"mmmm")</f>
        <v>July</v>
      </c>
      <c r="U183" t="str">
        <f>IF(BikeData[[#This Row],[workingday]]=1,"Working Day","Non-working Day")</f>
        <v>Working Day</v>
      </c>
      <c r="V183" t="str">
        <f>CHOOSE(BikeData[[#This Row],[weekday]]+1,"Sunday","Monday","Tuesday","Wednesday","Thursday","Friday","Saturday")</f>
        <v>Friday</v>
      </c>
      <c r="W183" t="str">
        <f>CHOOSE(BikeData[[#This Row],[weathersit]],"Clear / Few Clouds","Mist / Cloudy","Light Rain / Snow","Heavy Rain / Snow")</f>
        <v>Clear / Few Clouds</v>
      </c>
    </row>
    <row r="184" spans="1:23" x14ac:dyDescent="0.3">
      <c r="A184">
        <v>183</v>
      </c>
      <c r="B184" s="1">
        <v>40726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>
        <v>0.73833300000000002</v>
      </c>
      <c r="K184">
        <v>0.66730800000000001</v>
      </c>
      <c r="L184">
        <v>0.44458300000000001</v>
      </c>
      <c r="M184">
        <v>0.115062</v>
      </c>
      <c r="N184">
        <v>2204</v>
      </c>
      <c r="O184">
        <v>2915</v>
      </c>
      <c r="P184">
        <v>5119</v>
      </c>
      <c r="Q184" t="str">
        <f>IF(BikeData[[#This Row],[casual]]+BikeData[[#This Row],[registered]]=BikeData[[#This Row],[cnt]],"OK","Check")</f>
        <v>OK</v>
      </c>
      <c r="R184">
        <f>IF(BikeData[[#This Row],[yr]]=0,2011,2012)</f>
        <v>2011</v>
      </c>
      <c r="S184" t="str">
        <f>CHOOSE(BikeData[[#This Row],[season]],"Winter","Spring","Summer","Fall")</f>
        <v>Summer</v>
      </c>
      <c r="T184" t="str">
        <f>TEXT(DATE(2000,BikeData[[#This Row],[mnth]],1),"mmmm")</f>
        <v>July</v>
      </c>
      <c r="U184" t="str">
        <f>IF(BikeData[[#This Row],[workingday]]=1,"Working Day","Non-working Day")</f>
        <v>Non-working Day</v>
      </c>
      <c r="V184" t="str">
        <f>CHOOSE(BikeData[[#This Row],[weekday]]+1,"Sunday","Monday","Tuesday","Wednesday","Thursday","Friday","Saturday")</f>
        <v>Saturday</v>
      </c>
      <c r="W184" t="str">
        <f>CHOOSE(BikeData[[#This Row],[weathersit]],"Clear / Few Clouds","Mist / Cloudy","Light Rain / Snow","Heavy Rain / Snow")</f>
        <v>Clear / Few Clouds</v>
      </c>
    </row>
    <row r="185" spans="1:23" x14ac:dyDescent="0.3">
      <c r="A185">
        <v>184</v>
      </c>
      <c r="B185" s="1">
        <v>40727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>
        <v>0.71666700000000005</v>
      </c>
      <c r="K185">
        <v>0.66857500000000003</v>
      </c>
      <c r="L185">
        <v>0.6825</v>
      </c>
      <c r="M185">
        <v>0.22885800000000001</v>
      </c>
      <c r="N185">
        <v>2282</v>
      </c>
      <c r="O185">
        <v>2367</v>
      </c>
      <c r="P185">
        <v>4649</v>
      </c>
      <c r="Q185" t="str">
        <f>IF(BikeData[[#This Row],[casual]]+BikeData[[#This Row],[registered]]=BikeData[[#This Row],[cnt]],"OK","Check")</f>
        <v>OK</v>
      </c>
      <c r="R185">
        <f>IF(BikeData[[#This Row],[yr]]=0,2011,2012)</f>
        <v>2011</v>
      </c>
      <c r="S185" t="str">
        <f>CHOOSE(BikeData[[#This Row],[season]],"Winter","Spring","Summer","Fall")</f>
        <v>Summer</v>
      </c>
      <c r="T185" t="str">
        <f>TEXT(DATE(2000,BikeData[[#This Row],[mnth]],1),"mmmm")</f>
        <v>July</v>
      </c>
      <c r="U185" t="str">
        <f>IF(BikeData[[#This Row],[workingday]]=1,"Working Day","Non-working Day")</f>
        <v>Non-working Day</v>
      </c>
      <c r="V185" t="str">
        <f>CHOOSE(BikeData[[#This Row],[weekday]]+1,"Sunday","Monday","Tuesday","Wednesday","Thursday","Friday","Saturday")</f>
        <v>Sunday</v>
      </c>
      <c r="W185" t="str">
        <f>CHOOSE(BikeData[[#This Row],[weathersit]],"Clear / Few Clouds","Mist / Cloudy","Light Rain / Snow","Heavy Rain / Snow")</f>
        <v>Mist / Cloudy</v>
      </c>
    </row>
    <row r="186" spans="1:23" x14ac:dyDescent="0.3">
      <c r="A186">
        <v>185</v>
      </c>
      <c r="B186" s="1">
        <v>40728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>
        <v>0.72666699999999995</v>
      </c>
      <c r="K186">
        <v>0.66541700000000004</v>
      </c>
      <c r="L186">
        <v>0.63791699999999996</v>
      </c>
      <c r="M186">
        <v>8.1479200000000002E-2</v>
      </c>
      <c r="N186">
        <v>3065</v>
      </c>
      <c r="O186">
        <v>2978</v>
      </c>
      <c r="P186">
        <v>6043</v>
      </c>
      <c r="Q186" t="str">
        <f>IF(BikeData[[#This Row],[casual]]+BikeData[[#This Row],[registered]]=BikeData[[#This Row],[cnt]],"OK","Check")</f>
        <v>OK</v>
      </c>
      <c r="R186">
        <f>IF(BikeData[[#This Row],[yr]]=0,2011,2012)</f>
        <v>2011</v>
      </c>
      <c r="S186" t="str">
        <f>CHOOSE(BikeData[[#This Row],[season]],"Winter","Spring","Summer","Fall")</f>
        <v>Summer</v>
      </c>
      <c r="T186" t="str">
        <f>TEXT(DATE(2000,BikeData[[#This Row],[mnth]],1),"mmmm")</f>
        <v>July</v>
      </c>
      <c r="U186" t="str">
        <f>IF(BikeData[[#This Row],[workingday]]=1,"Working Day","Non-working Day")</f>
        <v>Non-working Day</v>
      </c>
      <c r="V186" t="str">
        <f>CHOOSE(BikeData[[#This Row],[weekday]]+1,"Sunday","Monday","Tuesday","Wednesday","Thursday","Friday","Saturday")</f>
        <v>Monday</v>
      </c>
      <c r="W186" t="str">
        <f>CHOOSE(BikeData[[#This Row],[weathersit]],"Clear / Few Clouds","Mist / Cloudy","Light Rain / Snow","Heavy Rain / Snow")</f>
        <v>Mist / Cloudy</v>
      </c>
    </row>
    <row r="187" spans="1:23" x14ac:dyDescent="0.3">
      <c r="A187">
        <v>186</v>
      </c>
      <c r="B187" s="1">
        <v>40729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>
        <v>0.74666699999999997</v>
      </c>
      <c r="K187">
        <v>0.69633800000000001</v>
      </c>
      <c r="L187">
        <v>0.59041699999999997</v>
      </c>
      <c r="M187">
        <v>0.12625800000000001</v>
      </c>
      <c r="N187">
        <v>1031</v>
      </c>
      <c r="O187">
        <v>3634</v>
      </c>
      <c r="P187">
        <v>4665</v>
      </c>
      <c r="Q187" t="str">
        <f>IF(BikeData[[#This Row],[casual]]+BikeData[[#This Row],[registered]]=BikeData[[#This Row],[cnt]],"OK","Check")</f>
        <v>OK</v>
      </c>
      <c r="R187">
        <f>IF(BikeData[[#This Row],[yr]]=0,2011,2012)</f>
        <v>2011</v>
      </c>
      <c r="S187" t="str">
        <f>CHOOSE(BikeData[[#This Row],[season]],"Winter","Spring","Summer","Fall")</f>
        <v>Summer</v>
      </c>
      <c r="T187" t="str">
        <f>TEXT(DATE(2000,BikeData[[#This Row],[mnth]],1),"mmmm")</f>
        <v>July</v>
      </c>
      <c r="U187" t="str">
        <f>IF(BikeData[[#This Row],[workingday]]=1,"Working Day","Non-working Day")</f>
        <v>Working Day</v>
      </c>
      <c r="V187" t="str">
        <f>CHOOSE(BikeData[[#This Row],[weekday]]+1,"Sunday","Monday","Tuesday","Wednesday","Thursday","Friday","Saturday")</f>
        <v>Tuesday</v>
      </c>
      <c r="W187" t="str">
        <f>CHOOSE(BikeData[[#This Row],[weathersit]],"Clear / Few Clouds","Mist / Cloudy","Light Rain / Snow","Heavy Rain / Snow")</f>
        <v>Clear / Few Clouds</v>
      </c>
    </row>
    <row r="188" spans="1:23" x14ac:dyDescent="0.3">
      <c r="A188">
        <v>187</v>
      </c>
      <c r="B188" s="1">
        <v>40730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>
        <v>0.72</v>
      </c>
      <c r="K188">
        <v>0.68563300000000005</v>
      </c>
      <c r="L188">
        <v>0.74333300000000002</v>
      </c>
      <c r="M188">
        <v>0.14988299999999999</v>
      </c>
      <c r="N188">
        <v>784</v>
      </c>
      <c r="O188">
        <v>3845</v>
      </c>
      <c r="P188">
        <v>4629</v>
      </c>
      <c r="Q188" t="str">
        <f>IF(BikeData[[#This Row],[casual]]+BikeData[[#This Row],[registered]]=BikeData[[#This Row],[cnt]],"OK","Check")</f>
        <v>OK</v>
      </c>
      <c r="R188">
        <f>IF(BikeData[[#This Row],[yr]]=0,2011,2012)</f>
        <v>2011</v>
      </c>
      <c r="S188" t="str">
        <f>CHOOSE(BikeData[[#This Row],[season]],"Winter","Spring","Summer","Fall")</f>
        <v>Summer</v>
      </c>
      <c r="T188" t="str">
        <f>TEXT(DATE(2000,BikeData[[#This Row],[mnth]],1),"mmmm")</f>
        <v>July</v>
      </c>
      <c r="U188" t="str">
        <f>IF(BikeData[[#This Row],[workingday]]=1,"Working Day","Non-working Day")</f>
        <v>Working Day</v>
      </c>
      <c r="V188" t="str">
        <f>CHOOSE(BikeData[[#This Row],[weekday]]+1,"Sunday","Monday","Tuesday","Wednesday","Thursday","Friday","Saturday")</f>
        <v>Wednesday</v>
      </c>
      <c r="W188" t="str">
        <f>CHOOSE(BikeData[[#This Row],[weathersit]],"Clear / Few Clouds","Mist / Cloudy","Light Rain / Snow","Heavy Rain / Snow")</f>
        <v>Clear / Few Clouds</v>
      </c>
    </row>
    <row r="189" spans="1:23" x14ac:dyDescent="0.3">
      <c r="A189">
        <v>188</v>
      </c>
      <c r="B189" s="1">
        <v>40731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>
        <v>0.75</v>
      </c>
      <c r="K189">
        <v>0.68687100000000001</v>
      </c>
      <c r="L189">
        <v>0.65125</v>
      </c>
      <c r="M189">
        <v>0.15920000000000001</v>
      </c>
      <c r="N189">
        <v>754</v>
      </c>
      <c r="O189">
        <v>3838</v>
      </c>
      <c r="P189">
        <v>4592</v>
      </c>
      <c r="Q189" t="str">
        <f>IF(BikeData[[#This Row],[casual]]+BikeData[[#This Row],[registered]]=BikeData[[#This Row],[cnt]],"OK","Check")</f>
        <v>OK</v>
      </c>
      <c r="R189">
        <f>IF(BikeData[[#This Row],[yr]]=0,2011,2012)</f>
        <v>2011</v>
      </c>
      <c r="S189" t="str">
        <f>CHOOSE(BikeData[[#This Row],[season]],"Winter","Spring","Summer","Fall")</f>
        <v>Summer</v>
      </c>
      <c r="T189" t="str">
        <f>TEXT(DATE(2000,BikeData[[#This Row],[mnth]],1),"mmmm")</f>
        <v>July</v>
      </c>
      <c r="U189" t="str">
        <f>IF(BikeData[[#This Row],[workingday]]=1,"Working Day","Non-working Day")</f>
        <v>Working Day</v>
      </c>
      <c r="V189" t="str">
        <f>CHOOSE(BikeData[[#This Row],[weekday]]+1,"Sunday","Monday","Tuesday","Wednesday","Thursday","Friday","Saturday")</f>
        <v>Thursday</v>
      </c>
      <c r="W189" t="str">
        <f>CHOOSE(BikeData[[#This Row],[weathersit]],"Clear / Few Clouds","Mist / Cloudy","Light Rain / Snow","Heavy Rain / Snow")</f>
        <v>Clear / Few Clouds</v>
      </c>
    </row>
    <row r="190" spans="1:23" x14ac:dyDescent="0.3">
      <c r="A190">
        <v>189</v>
      </c>
      <c r="B190" s="1">
        <v>40732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>
        <v>0.70916699999999999</v>
      </c>
      <c r="K190">
        <v>0.67048300000000005</v>
      </c>
      <c r="L190">
        <v>0.75791699999999995</v>
      </c>
      <c r="M190">
        <v>0.225129</v>
      </c>
      <c r="N190">
        <v>692</v>
      </c>
      <c r="O190">
        <v>3348</v>
      </c>
      <c r="P190">
        <v>4040</v>
      </c>
      <c r="Q190" t="str">
        <f>IF(BikeData[[#This Row],[casual]]+BikeData[[#This Row],[registered]]=BikeData[[#This Row],[cnt]],"OK","Check")</f>
        <v>OK</v>
      </c>
      <c r="R190">
        <f>IF(BikeData[[#This Row],[yr]]=0,2011,2012)</f>
        <v>2011</v>
      </c>
      <c r="S190" t="str">
        <f>CHOOSE(BikeData[[#This Row],[season]],"Winter","Spring","Summer","Fall")</f>
        <v>Summer</v>
      </c>
      <c r="T190" t="str">
        <f>TEXT(DATE(2000,BikeData[[#This Row],[mnth]],1),"mmmm")</f>
        <v>July</v>
      </c>
      <c r="U190" t="str">
        <f>IF(BikeData[[#This Row],[workingday]]=1,"Working Day","Non-working Day")</f>
        <v>Working Day</v>
      </c>
      <c r="V190" t="str">
        <f>CHOOSE(BikeData[[#This Row],[weekday]]+1,"Sunday","Monday","Tuesday","Wednesday","Thursday","Friday","Saturday")</f>
        <v>Friday</v>
      </c>
      <c r="W190" t="str">
        <f>CHOOSE(BikeData[[#This Row],[weathersit]],"Clear / Few Clouds","Mist / Cloudy","Light Rain / Snow","Heavy Rain / Snow")</f>
        <v>Mist / Cloudy</v>
      </c>
    </row>
    <row r="191" spans="1:23" x14ac:dyDescent="0.3">
      <c r="A191">
        <v>190</v>
      </c>
      <c r="B191" s="1">
        <v>40733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>
        <v>0.73333300000000001</v>
      </c>
      <c r="K191">
        <v>0.66415800000000003</v>
      </c>
      <c r="L191">
        <v>0.60916700000000001</v>
      </c>
      <c r="M191">
        <v>0.16791200000000001</v>
      </c>
      <c r="N191">
        <v>1988</v>
      </c>
      <c r="O191">
        <v>3348</v>
      </c>
      <c r="P191">
        <v>5336</v>
      </c>
      <c r="Q191" t="str">
        <f>IF(BikeData[[#This Row],[casual]]+BikeData[[#This Row],[registered]]=BikeData[[#This Row],[cnt]],"OK","Check")</f>
        <v>OK</v>
      </c>
      <c r="R191">
        <f>IF(BikeData[[#This Row],[yr]]=0,2011,2012)</f>
        <v>2011</v>
      </c>
      <c r="S191" t="str">
        <f>CHOOSE(BikeData[[#This Row],[season]],"Winter","Spring","Summer","Fall")</f>
        <v>Summer</v>
      </c>
      <c r="T191" t="str">
        <f>TEXT(DATE(2000,BikeData[[#This Row],[mnth]],1),"mmmm")</f>
        <v>July</v>
      </c>
      <c r="U191" t="str">
        <f>IF(BikeData[[#This Row],[workingday]]=1,"Working Day","Non-working Day")</f>
        <v>Non-working Day</v>
      </c>
      <c r="V191" t="str">
        <f>CHOOSE(BikeData[[#This Row],[weekday]]+1,"Sunday","Monday","Tuesday","Wednesday","Thursday","Friday","Saturday")</f>
        <v>Saturday</v>
      </c>
      <c r="W191" t="str">
        <f>CHOOSE(BikeData[[#This Row],[weathersit]],"Clear / Few Clouds","Mist / Cloudy","Light Rain / Snow","Heavy Rain / Snow")</f>
        <v>Clear / Few Clouds</v>
      </c>
    </row>
    <row r="192" spans="1:23" x14ac:dyDescent="0.3">
      <c r="A192">
        <v>191</v>
      </c>
      <c r="B192" s="1">
        <v>40734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>
        <v>0.74750000000000005</v>
      </c>
      <c r="K192">
        <v>0.690025</v>
      </c>
      <c r="L192">
        <v>0.57833299999999999</v>
      </c>
      <c r="M192">
        <v>0.183471</v>
      </c>
      <c r="N192">
        <v>1743</v>
      </c>
      <c r="O192">
        <v>3138</v>
      </c>
      <c r="P192">
        <v>4881</v>
      </c>
      <c r="Q192" t="str">
        <f>IF(BikeData[[#This Row],[casual]]+BikeData[[#This Row],[registered]]=BikeData[[#This Row],[cnt]],"OK","Check")</f>
        <v>OK</v>
      </c>
      <c r="R192">
        <f>IF(BikeData[[#This Row],[yr]]=0,2011,2012)</f>
        <v>2011</v>
      </c>
      <c r="S192" t="str">
        <f>CHOOSE(BikeData[[#This Row],[season]],"Winter","Spring","Summer","Fall")</f>
        <v>Summer</v>
      </c>
      <c r="T192" t="str">
        <f>TEXT(DATE(2000,BikeData[[#This Row],[mnth]],1),"mmmm")</f>
        <v>July</v>
      </c>
      <c r="U192" t="str">
        <f>IF(BikeData[[#This Row],[workingday]]=1,"Working Day","Non-working Day")</f>
        <v>Non-working Day</v>
      </c>
      <c r="V192" t="str">
        <f>CHOOSE(BikeData[[#This Row],[weekday]]+1,"Sunday","Monday","Tuesday","Wednesday","Thursday","Friday","Saturday")</f>
        <v>Sunday</v>
      </c>
      <c r="W192" t="str">
        <f>CHOOSE(BikeData[[#This Row],[weathersit]],"Clear / Few Clouds","Mist / Cloudy","Light Rain / Snow","Heavy Rain / Snow")</f>
        <v>Clear / Few Clouds</v>
      </c>
    </row>
    <row r="193" spans="1:23" x14ac:dyDescent="0.3">
      <c r="A193">
        <v>192</v>
      </c>
      <c r="B193" s="1">
        <v>40735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>
        <v>0.76249999999999996</v>
      </c>
      <c r="K193">
        <v>0.72980400000000001</v>
      </c>
      <c r="L193">
        <v>0.63583299999999998</v>
      </c>
      <c r="M193">
        <v>0.282337</v>
      </c>
      <c r="N193">
        <v>723</v>
      </c>
      <c r="O193">
        <v>3363</v>
      </c>
      <c r="P193">
        <v>4086</v>
      </c>
      <c r="Q193" t="str">
        <f>IF(BikeData[[#This Row],[casual]]+BikeData[[#This Row],[registered]]=BikeData[[#This Row],[cnt]],"OK","Check")</f>
        <v>OK</v>
      </c>
      <c r="R193">
        <f>IF(BikeData[[#This Row],[yr]]=0,2011,2012)</f>
        <v>2011</v>
      </c>
      <c r="S193" t="str">
        <f>CHOOSE(BikeData[[#This Row],[season]],"Winter","Spring","Summer","Fall")</f>
        <v>Summer</v>
      </c>
      <c r="T193" t="str">
        <f>TEXT(DATE(2000,BikeData[[#This Row],[mnth]],1),"mmmm")</f>
        <v>July</v>
      </c>
      <c r="U193" t="str">
        <f>IF(BikeData[[#This Row],[workingday]]=1,"Working Day","Non-working Day")</f>
        <v>Working Day</v>
      </c>
      <c r="V193" t="str">
        <f>CHOOSE(BikeData[[#This Row],[weekday]]+1,"Sunday","Monday","Tuesday","Wednesday","Thursday","Friday","Saturday")</f>
        <v>Monday</v>
      </c>
      <c r="W193" t="str">
        <f>CHOOSE(BikeData[[#This Row],[weathersit]],"Clear / Few Clouds","Mist / Cloudy","Light Rain / Snow","Heavy Rain / Snow")</f>
        <v>Clear / Few Clouds</v>
      </c>
    </row>
    <row r="194" spans="1:23" x14ac:dyDescent="0.3">
      <c r="A194">
        <v>193</v>
      </c>
      <c r="B194" s="1">
        <v>40736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>
        <v>0.79416699999999996</v>
      </c>
      <c r="K194">
        <v>0.73927500000000002</v>
      </c>
      <c r="L194">
        <v>0.55916699999999997</v>
      </c>
      <c r="M194">
        <v>0.20025399999999999</v>
      </c>
      <c r="N194">
        <v>662</v>
      </c>
      <c r="O194">
        <v>3596</v>
      </c>
      <c r="P194">
        <v>4258</v>
      </c>
      <c r="Q194" t="str">
        <f>IF(BikeData[[#This Row],[casual]]+BikeData[[#This Row],[registered]]=BikeData[[#This Row],[cnt]],"OK","Check")</f>
        <v>OK</v>
      </c>
      <c r="R194">
        <f>IF(BikeData[[#This Row],[yr]]=0,2011,2012)</f>
        <v>2011</v>
      </c>
      <c r="S194" t="str">
        <f>CHOOSE(BikeData[[#This Row],[season]],"Winter","Spring","Summer","Fall")</f>
        <v>Summer</v>
      </c>
      <c r="T194" t="str">
        <f>TEXT(DATE(2000,BikeData[[#This Row],[mnth]],1),"mmmm")</f>
        <v>July</v>
      </c>
      <c r="U194" t="str">
        <f>IF(BikeData[[#This Row],[workingday]]=1,"Working Day","Non-working Day")</f>
        <v>Working Day</v>
      </c>
      <c r="V194" t="str">
        <f>CHOOSE(BikeData[[#This Row],[weekday]]+1,"Sunday","Monday","Tuesday","Wednesday","Thursday","Friday","Saturday")</f>
        <v>Tuesday</v>
      </c>
      <c r="W194" t="str">
        <f>CHOOSE(BikeData[[#This Row],[weathersit]],"Clear / Few Clouds","Mist / Cloudy","Light Rain / Snow","Heavy Rain / Snow")</f>
        <v>Clear / Few Clouds</v>
      </c>
    </row>
    <row r="195" spans="1:23" x14ac:dyDescent="0.3">
      <c r="A195">
        <v>194</v>
      </c>
      <c r="B195" s="1">
        <v>40737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>
        <v>0.74666699999999997</v>
      </c>
      <c r="K195">
        <v>0.68940400000000002</v>
      </c>
      <c r="L195">
        <v>0.63166699999999998</v>
      </c>
      <c r="M195">
        <v>0.14613300000000001</v>
      </c>
      <c r="N195">
        <v>748</v>
      </c>
      <c r="O195">
        <v>3594</v>
      </c>
      <c r="P195">
        <v>4342</v>
      </c>
      <c r="Q195" t="str">
        <f>IF(BikeData[[#This Row],[casual]]+BikeData[[#This Row],[registered]]=BikeData[[#This Row],[cnt]],"OK","Check")</f>
        <v>OK</v>
      </c>
      <c r="R195">
        <f>IF(BikeData[[#This Row],[yr]]=0,2011,2012)</f>
        <v>2011</v>
      </c>
      <c r="S195" t="str">
        <f>CHOOSE(BikeData[[#This Row],[season]],"Winter","Spring","Summer","Fall")</f>
        <v>Summer</v>
      </c>
      <c r="T195" t="str">
        <f>TEXT(DATE(2000,BikeData[[#This Row],[mnth]],1),"mmmm")</f>
        <v>July</v>
      </c>
      <c r="U195" t="str">
        <f>IF(BikeData[[#This Row],[workingday]]=1,"Working Day","Non-working Day")</f>
        <v>Working Day</v>
      </c>
      <c r="V195" t="str">
        <f>CHOOSE(BikeData[[#This Row],[weekday]]+1,"Sunday","Monday","Tuesday","Wednesday","Thursday","Friday","Saturday")</f>
        <v>Wednesday</v>
      </c>
      <c r="W195" t="str">
        <f>CHOOSE(BikeData[[#This Row],[weathersit]],"Clear / Few Clouds","Mist / Cloudy","Light Rain / Snow","Heavy Rain / Snow")</f>
        <v>Clear / Few Clouds</v>
      </c>
    </row>
    <row r="196" spans="1:23" x14ac:dyDescent="0.3">
      <c r="A196">
        <v>195</v>
      </c>
      <c r="B196" s="1">
        <v>40738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>
        <v>0.68083300000000002</v>
      </c>
      <c r="K196">
        <v>0.635104</v>
      </c>
      <c r="L196">
        <v>0.47625000000000001</v>
      </c>
      <c r="M196">
        <v>0.24066699999999999</v>
      </c>
      <c r="N196">
        <v>888</v>
      </c>
      <c r="O196">
        <v>4196</v>
      </c>
      <c r="P196">
        <v>5084</v>
      </c>
      <c r="Q196" t="str">
        <f>IF(BikeData[[#This Row],[casual]]+BikeData[[#This Row],[registered]]=BikeData[[#This Row],[cnt]],"OK","Check")</f>
        <v>OK</v>
      </c>
      <c r="R196">
        <f>IF(BikeData[[#This Row],[yr]]=0,2011,2012)</f>
        <v>2011</v>
      </c>
      <c r="S196" t="str">
        <f>CHOOSE(BikeData[[#This Row],[season]],"Winter","Spring","Summer","Fall")</f>
        <v>Summer</v>
      </c>
      <c r="T196" t="str">
        <f>TEXT(DATE(2000,BikeData[[#This Row],[mnth]],1),"mmmm")</f>
        <v>July</v>
      </c>
      <c r="U196" t="str">
        <f>IF(BikeData[[#This Row],[workingday]]=1,"Working Day","Non-working Day")</f>
        <v>Working Day</v>
      </c>
      <c r="V196" t="str">
        <f>CHOOSE(BikeData[[#This Row],[weekday]]+1,"Sunday","Monday","Tuesday","Wednesday","Thursday","Friday","Saturday")</f>
        <v>Thursday</v>
      </c>
      <c r="W196" t="str">
        <f>CHOOSE(BikeData[[#This Row],[weathersit]],"Clear / Few Clouds","Mist / Cloudy","Light Rain / Snow","Heavy Rain / Snow")</f>
        <v>Clear / Few Clouds</v>
      </c>
    </row>
    <row r="197" spans="1:23" x14ac:dyDescent="0.3">
      <c r="A197">
        <v>196</v>
      </c>
      <c r="B197" s="1">
        <v>40739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>
        <v>0.66333299999999995</v>
      </c>
      <c r="K197">
        <v>0.62437100000000001</v>
      </c>
      <c r="L197">
        <v>0.59125000000000005</v>
      </c>
      <c r="M197">
        <v>0.182833</v>
      </c>
      <c r="N197">
        <v>1318</v>
      </c>
      <c r="O197">
        <v>4220</v>
      </c>
      <c r="P197">
        <v>5538</v>
      </c>
      <c r="Q197" t="str">
        <f>IF(BikeData[[#This Row],[casual]]+BikeData[[#This Row],[registered]]=BikeData[[#This Row],[cnt]],"OK","Check")</f>
        <v>OK</v>
      </c>
      <c r="R197">
        <f>IF(BikeData[[#This Row],[yr]]=0,2011,2012)</f>
        <v>2011</v>
      </c>
      <c r="S197" t="str">
        <f>CHOOSE(BikeData[[#This Row],[season]],"Winter","Spring","Summer","Fall")</f>
        <v>Summer</v>
      </c>
      <c r="T197" t="str">
        <f>TEXT(DATE(2000,BikeData[[#This Row],[mnth]],1),"mmmm")</f>
        <v>July</v>
      </c>
      <c r="U197" t="str">
        <f>IF(BikeData[[#This Row],[workingday]]=1,"Working Day","Non-working Day")</f>
        <v>Working Day</v>
      </c>
      <c r="V197" t="str">
        <f>CHOOSE(BikeData[[#This Row],[weekday]]+1,"Sunday","Monday","Tuesday","Wednesday","Thursday","Friday","Saturday")</f>
        <v>Friday</v>
      </c>
      <c r="W197" t="str">
        <f>CHOOSE(BikeData[[#This Row],[weathersit]],"Clear / Few Clouds","Mist / Cloudy","Light Rain / Snow","Heavy Rain / Snow")</f>
        <v>Clear / Few Clouds</v>
      </c>
    </row>
    <row r="198" spans="1:23" x14ac:dyDescent="0.3">
      <c r="A198">
        <v>197</v>
      </c>
      <c r="B198" s="1">
        <v>40740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>
        <v>0.68666700000000003</v>
      </c>
      <c r="K198">
        <v>0.63826300000000002</v>
      </c>
      <c r="L198">
        <v>0.58499999999999996</v>
      </c>
      <c r="M198">
        <v>0.208342</v>
      </c>
      <c r="N198">
        <v>2418</v>
      </c>
      <c r="O198">
        <v>3505</v>
      </c>
      <c r="P198">
        <v>5923</v>
      </c>
      <c r="Q198" t="str">
        <f>IF(BikeData[[#This Row],[casual]]+BikeData[[#This Row],[registered]]=BikeData[[#This Row],[cnt]],"OK","Check")</f>
        <v>OK</v>
      </c>
      <c r="R198">
        <f>IF(BikeData[[#This Row],[yr]]=0,2011,2012)</f>
        <v>2011</v>
      </c>
      <c r="S198" t="str">
        <f>CHOOSE(BikeData[[#This Row],[season]],"Winter","Spring","Summer","Fall")</f>
        <v>Summer</v>
      </c>
      <c r="T198" t="str">
        <f>TEXT(DATE(2000,BikeData[[#This Row],[mnth]],1),"mmmm")</f>
        <v>July</v>
      </c>
      <c r="U198" t="str">
        <f>IF(BikeData[[#This Row],[workingday]]=1,"Working Day","Non-working Day")</f>
        <v>Non-working Day</v>
      </c>
      <c r="V198" t="str">
        <f>CHOOSE(BikeData[[#This Row],[weekday]]+1,"Sunday","Monday","Tuesday","Wednesday","Thursday","Friday","Saturday")</f>
        <v>Saturday</v>
      </c>
      <c r="W198" t="str">
        <f>CHOOSE(BikeData[[#This Row],[weathersit]],"Clear / Few Clouds","Mist / Cloudy","Light Rain / Snow","Heavy Rain / Snow")</f>
        <v>Clear / Few Clouds</v>
      </c>
    </row>
    <row r="199" spans="1:23" x14ac:dyDescent="0.3">
      <c r="A199">
        <v>198</v>
      </c>
      <c r="B199" s="1">
        <v>40741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>
        <v>0.719167</v>
      </c>
      <c r="K199">
        <v>0.66983300000000001</v>
      </c>
      <c r="L199">
        <v>0.60416700000000001</v>
      </c>
      <c r="M199">
        <v>0.245033</v>
      </c>
      <c r="N199">
        <v>2006</v>
      </c>
      <c r="O199">
        <v>3296</v>
      </c>
      <c r="P199">
        <v>5302</v>
      </c>
      <c r="Q199" t="str">
        <f>IF(BikeData[[#This Row],[casual]]+BikeData[[#This Row],[registered]]=BikeData[[#This Row],[cnt]],"OK","Check")</f>
        <v>OK</v>
      </c>
      <c r="R199">
        <f>IF(BikeData[[#This Row],[yr]]=0,2011,2012)</f>
        <v>2011</v>
      </c>
      <c r="S199" t="str">
        <f>CHOOSE(BikeData[[#This Row],[season]],"Winter","Spring","Summer","Fall")</f>
        <v>Summer</v>
      </c>
      <c r="T199" t="str">
        <f>TEXT(DATE(2000,BikeData[[#This Row],[mnth]],1),"mmmm")</f>
        <v>July</v>
      </c>
      <c r="U199" t="str">
        <f>IF(BikeData[[#This Row],[workingday]]=1,"Working Day","Non-working Day")</f>
        <v>Non-working Day</v>
      </c>
      <c r="V199" t="str">
        <f>CHOOSE(BikeData[[#This Row],[weekday]]+1,"Sunday","Monday","Tuesday","Wednesday","Thursday","Friday","Saturday")</f>
        <v>Sunday</v>
      </c>
      <c r="W199" t="str">
        <f>CHOOSE(BikeData[[#This Row],[weathersit]],"Clear / Few Clouds","Mist / Cloudy","Light Rain / Snow","Heavy Rain / Snow")</f>
        <v>Clear / Few Clouds</v>
      </c>
    </row>
    <row r="200" spans="1:23" x14ac:dyDescent="0.3">
      <c r="A200">
        <v>199</v>
      </c>
      <c r="B200" s="1">
        <v>40742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>
        <v>0.74666699999999997</v>
      </c>
      <c r="K200">
        <v>0.70392500000000002</v>
      </c>
      <c r="L200">
        <v>0.65125</v>
      </c>
      <c r="M200">
        <v>0.215804</v>
      </c>
      <c r="N200">
        <v>841</v>
      </c>
      <c r="O200">
        <v>3617</v>
      </c>
      <c r="P200">
        <v>4458</v>
      </c>
      <c r="Q200" t="str">
        <f>IF(BikeData[[#This Row],[casual]]+BikeData[[#This Row],[registered]]=BikeData[[#This Row],[cnt]],"OK","Check")</f>
        <v>OK</v>
      </c>
      <c r="R200">
        <f>IF(BikeData[[#This Row],[yr]]=0,2011,2012)</f>
        <v>2011</v>
      </c>
      <c r="S200" t="str">
        <f>CHOOSE(BikeData[[#This Row],[season]],"Winter","Spring","Summer","Fall")</f>
        <v>Summer</v>
      </c>
      <c r="T200" t="str">
        <f>TEXT(DATE(2000,BikeData[[#This Row],[mnth]],1),"mmmm")</f>
        <v>July</v>
      </c>
      <c r="U200" t="str">
        <f>IF(BikeData[[#This Row],[workingday]]=1,"Working Day","Non-working Day")</f>
        <v>Working Day</v>
      </c>
      <c r="V200" t="str">
        <f>CHOOSE(BikeData[[#This Row],[weekday]]+1,"Sunday","Monday","Tuesday","Wednesday","Thursday","Friday","Saturday")</f>
        <v>Monday</v>
      </c>
      <c r="W200" t="str">
        <f>CHOOSE(BikeData[[#This Row],[weathersit]],"Clear / Few Clouds","Mist / Cloudy","Light Rain / Snow","Heavy Rain / Snow")</f>
        <v>Clear / Few Clouds</v>
      </c>
    </row>
    <row r="201" spans="1:23" x14ac:dyDescent="0.3">
      <c r="A201">
        <v>200</v>
      </c>
      <c r="B201" s="1">
        <v>40743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>
        <v>0.776667</v>
      </c>
      <c r="K201">
        <v>0.747479</v>
      </c>
      <c r="L201">
        <v>0.65041700000000002</v>
      </c>
      <c r="M201">
        <v>0.13059999999999999</v>
      </c>
      <c r="N201">
        <v>752</v>
      </c>
      <c r="O201">
        <v>3789</v>
      </c>
      <c r="P201">
        <v>4541</v>
      </c>
      <c r="Q201" t="str">
        <f>IF(BikeData[[#This Row],[casual]]+BikeData[[#This Row],[registered]]=BikeData[[#This Row],[cnt]],"OK","Check")</f>
        <v>OK</v>
      </c>
      <c r="R201">
        <f>IF(BikeData[[#This Row],[yr]]=0,2011,2012)</f>
        <v>2011</v>
      </c>
      <c r="S201" t="str">
        <f>CHOOSE(BikeData[[#This Row],[season]],"Winter","Spring","Summer","Fall")</f>
        <v>Summer</v>
      </c>
      <c r="T201" t="str">
        <f>TEXT(DATE(2000,BikeData[[#This Row],[mnth]],1),"mmmm")</f>
        <v>July</v>
      </c>
      <c r="U201" t="str">
        <f>IF(BikeData[[#This Row],[workingday]]=1,"Working Day","Non-working Day")</f>
        <v>Working Day</v>
      </c>
      <c r="V201" t="str">
        <f>CHOOSE(BikeData[[#This Row],[weekday]]+1,"Sunday","Monday","Tuesday","Wednesday","Thursday","Friday","Saturday")</f>
        <v>Tuesday</v>
      </c>
      <c r="W201" t="str">
        <f>CHOOSE(BikeData[[#This Row],[weathersit]],"Clear / Few Clouds","Mist / Cloudy","Light Rain / Snow","Heavy Rain / Snow")</f>
        <v>Clear / Few Clouds</v>
      </c>
    </row>
    <row r="202" spans="1:23" x14ac:dyDescent="0.3">
      <c r="A202">
        <v>201</v>
      </c>
      <c r="B202" s="1">
        <v>40744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>
        <v>0.76833300000000004</v>
      </c>
      <c r="K202">
        <v>0.74685000000000001</v>
      </c>
      <c r="L202">
        <v>0.70708300000000002</v>
      </c>
      <c r="M202">
        <v>0.113817</v>
      </c>
      <c r="N202">
        <v>644</v>
      </c>
      <c r="O202">
        <v>3688</v>
      </c>
      <c r="P202">
        <v>4332</v>
      </c>
      <c r="Q202" t="str">
        <f>IF(BikeData[[#This Row],[casual]]+BikeData[[#This Row],[registered]]=BikeData[[#This Row],[cnt]],"OK","Check")</f>
        <v>OK</v>
      </c>
      <c r="R202">
        <f>IF(BikeData[[#This Row],[yr]]=0,2011,2012)</f>
        <v>2011</v>
      </c>
      <c r="S202" t="str">
        <f>CHOOSE(BikeData[[#This Row],[season]],"Winter","Spring","Summer","Fall")</f>
        <v>Summer</v>
      </c>
      <c r="T202" t="str">
        <f>TEXT(DATE(2000,BikeData[[#This Row],[mnth]],1),"mmmm")</f>
        <v>July</v>
      </c>
      <c r="U202" t="str">
        <f>IF(BikeData[[#This Row],[workingday]]=1,"Working Day","Non-working Day")</f>
        <v>Working Day</v>
      </c>
      <c r="V202" t="str">
        <f>CHOOSE(BikeData[[#This Row],[weekday]]+1,"Sunday","Monday","Tuesday","Wednesday","Thursday","Friday","Saturday")</f>
        <v>Wednesday</v>
      </c>
      <c r="W202" t="str">
        <f>CHOOSE(BikeData[[#This Row],[weathersit]],"Clear / Few Clouds","Mist / Cloudy","Light Rain / Snow","Heavy Rain / Snow")</f>
        <v>Clear / Few Clouds</v>
      </c>
    </row>
    <row r="203" spans="1:23" x14ac:dyDescent="0.3">
      <c r="A203">
        <v>202</v>
      </c>
      <c r="B203" s="1">
        <v>40745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>
        <v>0.81499999999999995</v>
      </c>
      <c r="K203">
        <v>0.82637099999999997</v>
      </c>
      <c r="L203">
        <v>0.69125000000000003</v>
      </c>
      <c r="M203">
        <v>0.222021</v>
      </c>
      <c r="N203">
        <v>632</v>
      </c>
      <c r="O203">
        <v>3152</v>
      </c>
      <c r="P203">
        <v>3784</v>
      </c>
      <c r="Q203" t="str">
        <f>IF(BikeData[[#This Row],[casual]]+BikeData[[#This Row],[registered]]=BikeData[[#This Row],[cnt]],"OK","Check")</f>
        <v>OK</v>
      </c>
      <c r="R203">
        <f>IF(BikeData[[#This Row],[yr]]=0,2011,2012)</f>
        <v>2011</v>
      </c>
      <c r="S203" t="str">
        <f>CHOOSE(BikeData[[#This Row],[season]],"Winter","Spring","Summer","Fall")</f>
        <v>Summer</v>
      </c>
      <c r="T203" t="str">
        <f>TEXT(DATE(2000,BikeData[[#This Row],[mnth]],1),"mmmm")</f>
        <v>July</v>
      </c>
      <c r="U203" t="str">
        <f>IF(BikeData[[#This Row],[workingday]]=1,"Working Day","Non-working Day")</f>
        <v>Working Day</v>
      </c>
      <c r="V203" t="str">
        <f>CHOOSE(BikeData[[#This Row],[weekday]]+1,"Sunday","Monday","Tuesday","Wednesday","Thursday","Friday","Saturday")</f>
        <v>Thursday</v>
      </c>
      <c r="W203" t="str">
        <f>CHOOSE(BikeData[[#This Row],[weathersit]],"Clear / Few Clouds","Mist / Cloudy","Light Rain / Snow","Heavy Rain / Snow")</f>
        <v>Mist / Cloudy</v>
      </c>
    </row>
    <row r="204" spans="1:23" x14ac:dyDescent="0.3">
      <c r="A204">
        <v>203</v>
      </c>
      <c r="B204" s="1">
        <v>40746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>
        <v>0.848333</v>
      </c>
      <c r="K204">
        <v>0.84089599999999998</v>
      </c>
      <c r="L204">
        <v>0.58041699999999996</v>
      </c>
      <c r="M204">
        <v>0.1331</v>
      </c>
      <c r="N204">
        <v>562</v>
      </c>
      <c r="O204">
        <v>2825</v>
      </c>
      <c r="P204">
        <v>3387</v>
      </c>
      <c r="Q204" t="str">
        <f>IF(BikeData[[#This Row],[casual]]+BikeData[[#This Row],[registered]]=BikeData[[#This Row],[cnt]],"OK","Check")</f>
        <v>OK</v>
      </c>
      <c r="R204">
        <f>IF(BikeData[[#This Row],[yr]]=0,2011,2012)</f>
        <v>2011</v>
      </c>
      <c r="S204" t="str">
        <f>CHOOSE(BikeData[[#This Row],[season]],"Winter","Spring","Summer","Fall")</f>
        <v>Summer</v>
      </c>
      <c r="T204" t="str">
        <f>TEXT(DATE(2000,BikeData[[#This Row],[mnth]],1),"mmmm")</f>
        <v>July</v>
      </c>
      <c r="U204" t="str">
        <f>IF(BikeData[[#This Row],[workingday]]=1,"Working Day","Non-working Day")</f>
        <v>Working Day</v>
      </c>
      <c r="V204" t="str">
        <f>CHOOSE(BikeData[[#This Row],[weekday]]+1,"Sunday","Monday","Tuesday","Wednesday","Thursday","Friday","Saturday")</f>
        <v>Friday</v>
      </c>
      <c r="W204" t="str">
        <f>CHOOSE(BikeData[[#This Row],[weathersit]],"Clear / Few Clouds","Mist / Cloudy","Light Rain / Snow","Heavy Rain / Snow")</f>
        <v>Clear / Few Clouds</v>
      </c>
    </row>
    <row r="205" spans="1:23" x14ac:dyDescent="0.3">
      <c r="A205">
        <v>204</v>
      </c>
      <c r="B205" s="1">
        <v>40747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>
        <v>0.84916700000000001</v>
      </c>
      <c r="K205">
        <v>0.80428699999999997</v>
      </c>
      <c r="L205">
        <v>0.5</v>
      </c>
      <c r="M205">
        <v>0.131221</v>
      </c>
      <c r="N205">
        <v>987</v>
      </c>
      <c r="O205">
        <v>2298</v>
      </c>
      <c r="P205">
        <v>3285</v>
      </c>
      <c r="Q205" t="str">
        <f>IF(BikeData[[#This Row],[casual]]+BikeData[[#This Row],[registered]]=BikeData[[#This Row],[cnt]],"OK","Check")</f>
        <v>OK</v>
      </c>
      <c r="R205">
        <f>IF(BikeData[[#This Row],[yr]]=0,2011,2012)</f>
        <v>2011</v>
      </c>
      <c r="S205" t="str">
        <f>CHOOSE(BikeData[[#This Row],[season]],"Winter","Spring","Summer","Fall")</f>
        <v>Summer</v>
      </c>
      <c r="T205" t="str">
        <f>TEXT(DATE(2000,BikeData[[#This Row],[mnth]],1),"mmmm")</f>
        <v>July</v>
      </c>
      <c r="U205" t="str">
        <f>IF(BikeData[[#This Row],[workingday]]=1,"Working Day","Non-working Day")</f>
        <v>Non-working Day</v>
      </c>
      <c r="V205" t="str">
        <f>CHOOSE(BikeData[[#This Row],[weekday]]+1,"Sunday","Monday","Tuesday","Wednesday","Thursday","Friday","Saturday")</f>
        <v>Saturday</v>
      </c>
      <c r="W205" t="str">
        <f>CHOOSE(BikeData[[#This Row],[weathersit]],"Clear / Few Clouds","Mist / Cloudy","Light Rain / Snow","Heavy Rain / Snow")</f>
        <v>Clear / Few Clouds</v>
      </c>
    </row>
    <row r="206" spans="1:23" x14ac:dyDescent="0.3">
      <c r="A206">
        <v>205</v>
      </c>
      <c r="B206" s="1">
        <v>40748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>
        <v>0.83</v>
      </c>
      <c r="K206">
        <v>0.79482900000000001</v>
      </c>
      <c r="L206">
        <v>0.55083300000000002</v>
      </c>
      <c r="M206">
        <v>0.16917099999999999</v>
      </c>
      <c r="N206">
        <v>1050</v>
      </c>
      <c r="O206">
        <v>2556</v>
      </c>
      <c r="P206">
        <v>3606</v>
      </c>
      <c r="Q206" t="str">
        <f>IF(BikeData[[#This Row],[casual]]+BikeData[[#This Row],[registered]]=BikeData[[#This Row],[cnt]],"OK","Check")</f>
        <v>OK</v>
      </c>
      <c r="R206">
        <f>IF(BikeData[[#This Row],[yr]]=0,2011,2012)</f>
        <v>2011</v>
      </c>
      <c r="S206" t="str">
        <f>CHOOSE(BikeData[[#This Row],[season]],"Winter","Spring","Summer","Fall")</f>
        <v>Summer</v>
      </c>
      <c r="T206" t="str">
        <f>TEXT(DATE(2000,BikeData[[#This Row],[mnth]],1),"mmmm")</f>
        <v>July</v>
      </c>
      <c r="U206" t="str">
        <f>IF(BikeData[[#This Row],[workingday]]=1,"Working Day","Non-working Day")</f>
        <v>Non-working Day</v>
      </c>
      <c r="V206" t="str">
        <f>CHOOSE(BikeData[[#This Row],[weekday]]+1,"Sunday","Monday","Tuesday","Wednesday","Thursday","Friday","Saturday")</f>
        <v>Sunday</v>
      </c>
      <c r="W206" t="str">
        <f>CHOOSE(BikeData[[#This Row],[weathersit]],"Clear / Few Clouds","Mist / Cloudy","Light Rain / Snow","Heavy Rain / Snow")</f>
        <v>Clear / Few Clouds</v>
      </c>
    </row>
    <row r="207" spans="1:23" x14ac:dyDescent="0.3">
      <c r="A207">
        <v>206</v>
      </c>
      <c r="B207" s="1">
        <v>40749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>
        <v>0.74333300000000002</v>
      </c>
      <c r="K207">
        <v>0.72095799999999999</v>
      </c>
      <c r="L207">
        <v>0.75708299999999995</v>
      </c>
      <c r="M207">
        <v>9.0808299999999995E-2</v>
      </c>
      <c r="N207">
        <v>568</v>
      </c>
      <c r="O207">
        <v>3272</v>
      </c>
      <c r="P207">
        <v>3840</v>
      </c>
      <c r="Q207" t="str">
        <f>IF(BikeData[[#This Row],[casual]]+BikeData[[#This Row],[registered]]=BikeData[[#This Row],[cnt]],"OK","Check")</f>
        <v>OK</v>
      </c>
      <c r="R207">
        <f>IF(BikeData[[#This Row],[yr]]=0,2011,2012)</f>
        <v>2011</v>
      </c>
      <c r="S207" t="str">
        <f>CHOOSE(BikeData[[#This Row],[season]],"Winter","Spring","Summer","Fall")</f>
        <v>Summer</v>
      </c>
      <c r="T207" t="str">
        <f>TEXT(DATE(2000,BikeData[[#This Row],[mnth]],1),"mmmm")</f>
        <v>July</v>
      </c>
      <c r="U207" t="str">
        <f>IF(BikeData[[#This Row],[workingday]]=1,"Working Day","Non-working Day")</f>
        <v>Working Day</v>
      </c>
      <c r="V207" t="str">
        <f>CHOOSE(BikeData[[#This Row],[weekday]]+1,"Sunday","Monday","Tuesday","Wednesday","Thursday","Friday","Saturday")</f>
        <v>Monday</v>
      </c>
      <c r="W207" t="str">
        <f>CHOOSE(BikeData[[#This Row],[weathersit]],"Clear / Few Clouds","Mist / Cloudy","Light Rain / Snow","Heavy Rain / Snow")</f>
        <v>Clear / Few Clouds</v>
      </c>
    </row>
    <row r="208" spans="1:23" x14ac:dyDescent="0.3">
      <c r="A208">
        <v>207</v>
      </c>
      <c r="B208" s="1">
        <v>40750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>
        <v>0.77166699999999999</v>
      </c>
      <c r="K208">
        <v>0.69697900000000002</v>
      </c>
      <c r="L208">
        <v>0.54083300000000001</v>
      </c>
      <c r="M208">
        <v>0.20025799999999999</v>
      </c>
      <c r="N208">
        <v>750</v>
      </c>
      <c r="O208">
        <v>3840</v>
      </c>
      <c r="P208">
        <v>4590</v>
      </c>
      <c r="Q208" t="str">
        <f>IF(BikeData[[#This Row],[casual]]+BikeData[[#This Row],[registered]]=BikeData[[#This Row],[cnt]],"OK","Check")</f>
        <v>OK</v>
      </c>
      <c r="R208">
        <f>IF(BikeData[[#This Row],[yr]]=0,2011,2012)</f>
        <v>2011</v>
      </c>
      <c r="S208" t="str">
        <f>CHOOSE(BikeData[[#This Row],[season]],"Winter","Spring","Summer","Fall")</f>
        <v>Summer</v>
      </c>
      <c r="T208" t="str">
        <f>TEXT(DATE(2000,BikeData[[#This Row],[mnth]],1),"mmmm")</f>
        <v>July</v>
      </c>
      <c r="U208" t="str">
        <f>IF(BikeData[[#This Row],[workingday]]=1,"Working Day","Non-working Day")</f>
        <v>Working Day</v>
      </c>
      <c r="V208" t="str">
        <f>CHOOSE(BikeData[[#This Row],[weekday]]+1,"Sunday","Monday","Tuesday","Wednesday","Thursday","Friday","Saturday")</f>
        <v>Tuesday</v>
      </c>
      <c r="W208" t="str">
        <f>CHOOSE(BikeData[[#This Row],[weathersit]],"Clear / Few Clouds","Mist / Cloudy","Light Rain / Snow","Heavy Rain / Snow")</f>
        <v>Clear / Few Clouds</v>
      </c>
    </row>
    <row r="209" spans="1:23" x14ac:dyDescent="0.3">
      <c r="A209">
        <v>208</v>
      </c>
      <c r="B209" s="1">
        <v>40751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>
        <v>0.77500000000000002</v>
      </c>
      <c r="K209">
        <v>0.69066700000000003</v>
      </c>
      <c r="L209">
        <v>0.40291700000000003</v>
      </c>
      <c r="M209">
        <v>0.18346299999999999</v>
      </c>
      <c r="N209">
        <v>755</v>
      </c>
      <c r="O209">
        <v>3901</v>
      </c>
      <c r="P209">
        <v>4656</v>
      </c>
      <c r="Q209" t="str">
        <f>IF(BikeData[[#This Row],[casual]]+BikeData[[#This Row],[registered]]=BikeData[[#This Row],[cnt]],"OK","Check")</f>
        <v>OK</v>
      </c>
      <c r="R209">
        <f>IF(BikeData[[#This Row],[yr]]=0,2011,2012)</f>
        <v>2011</v>
      </c>
      <c r="S209" t="str">
        <f>CHOOSE(BikeData[[#This Row],[season]],"Winter","Spring","Summer","Fall")</f>
        <v>Summer</v>
      </c>
      <c r="T209" t="str">
        <f>TEXT(DATE(2000,BikeData[[#This Row],[mnth]],1),"mmmm")</f>
        <v>July</v>
      </c>
      <c r="U209" t="str">
        <f>IF(BikeData[[#This Row],[workingday]]=1,"Working Day","Non-working Day")</f>
        <v>Working Day</v>
      </c>
      <c r="V209" t="str">
        <f>CHOOSE(BikeData[[#This Row],[weekday]]+1,"Sunday","Monday","Tuesday","Wednesday","Thursday","Friday","Saturday")</f>
        <v>Wednesday</v>
      </c>
      <c r="W209" t="str">
        <f>CHOOSE(BikeData[[#This Row],[weathersit]],"Clear / Few Clouds","Mist / Cloudy","Light Rain / Snow","Heavy Rain / Snow")</f>
        <v>Clear / Few Clouds</v>
      </c>
    </row>
    <row r="210" spans="1:23" x14ac:dyDescent="0.3">
      <c r="A210">
        <v>209</v>
      </c>
      <c r="B210" s="1">
        <v>40752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>
        <v>0.77916700000000005</v>
      </c>
      <c r="K210">
        <v>0.7399</v>
      </c>
      <c r="L210">
        <v>0.58333299999999999</v>
      </c>
      <c r="M210">
        <v>0.178479</v>
      </c>
      <c r="N210">
        <v>606</v>
      </c>
      <c r="O210">
        <v>3784</v>
      </c>
      <c r="P210">
        <v>4390</v>
      </c>
      <c r="Q210" t="str">
        <f>IF(BikeData[[#This Row],[casual]]+BikeData[[#This Row],[registered]]=BikeData[[#This Row],[cnt]],"OK","Check")</f>
        <v>OK</v>
      </c>
      <c r="R210">
        <f>IF(BikeData[[#This Row],[yr]]=0,2011,2012)</f>
        <v>2011</v>
      </c>
      <c r="S210" t="str">
        <f>CHOOSE(BikeData[[#This Row],[season]],"Winter","Spring","Summer","Fall")</f>
        <v>Summer</v>
      </c>
      <c r="T210" t="str">
        <f>TEXT(DATE(2000,BikeData[[#This Row],[mnth]],1),"mmmm")</f>
        <v>July</v>
      </c>
      <c r="U210" t="str">
        <f>IF(BikeData[[#This Row],[workingday]]=1,"Working Day","Non-working Day")</f>
        <v>Working Day</v>
      </c>
      <c r="V210" t="str">
        <f>CHOOSE(BikeData[[#This Row],[weekday]]+1,"Sunday","Monday","Tuesday","Wednesday","Thursday","Friday","Saturday")</f>
        <v>Thursday</v>
      </c>
      <c r="W210" t="str">
        <f>CHOOSE(BikeData[[#This Row],[weathersit]],"Clear / Few Clouds","Mist / Cloudy","Light Rain / Snow","Heavy Rain / Snow")</f>
        <v>Clear / Few Clouds</v>
      </c>
    </row>
    <row r="211" spans="1:23" x14ac:dyDescent="0.3">
      <c r="A211">
        <v>210</v>
      </c>
      <c r="B211" s="1">
        <v>40753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>
        <v>0.83833299999999999</v>
      </c>
      <c r="K211">
        <v>0.78596699999999997</v>
      </c>
      <c r="L211">
        <v>0.54249999999999998</v>
      </c>
      <c r="M211">
        <v>0.17413799999999999</v>
      </c>
      <c r="N211">
        <v>670</v>
      </c>
      <c r="O211">
        <v>3176</v>
      </c>
      <c r="P211">
        <v>3846</v>
      </c>
      <c r="Q211" t="str">
        <f>IF(BikeData[[#This Row],[casual]]+BikeData[[#This Row],[registered]]=BikeData[[#This Row],[cnt]],"OK","Check")</f>
        <v>OK</v>
      </c>
      <c r="R211">
        <f>IF(BikeData[[#This Row],[yr]]=0,2011,2012)</f>
        <v>2011</v>
      </c>
      <c r="S211" t="str">
        <f>CHOOSE(BikeData[[#This Row],[season]],"Winter","Spring","Summer","Fall")</f>
        <v>Summer</v>
      </c>
      <c r="T211" t="str">
        <f>TEXT(DATE(2000,BikeData[[#This Row],[mnth]],1),"mmmm")</f>
        <v>July</v>
      </c>
      <c r="U211" t="str">
        <f>IF(BikeData[[#This Row],[workingday]]=1,"Working Day","Non-working Day")</f>
        <v>Working Day</v>
      </c>
      <c r="V211" t="str">
        <f>CHOOSE(BikeData[[#This Row],[weekday]]+1,"Sunday","Monday","Tuesday","Wednesday","Thursday","Friday","Saturday")</f>
        <v>Friday</v>
      </c>
      <c r="W211" t="str">
        <f>CHOOSE(BikeData[[#This Row],[weathersit]],"Clear / Few Clouds","Mist / Cloudy","Light Rain / Snow","Heavy Rain / Snow")</f>
        <v>Clear / Few Clouds</v>
      </c>
    </row>
    <row r="212" spans="1:23" x14ac:dyDescent="0.3">
      <c r="A212">
        <v>211</v>
      </c>
      <c r="B212" s="1">
        <v>40754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>
        <v>0.80416699999999997</v>
      </c>
      <c r="K212">
        <v>0.72853699999999999</v>
      </c>
      <c r="L212">
        <v>0.465833</v>
      </c>
      <c r="M212">
        <v>0.16853699999999999</v>
      </c>
      <c r="N212">
        <v>1559</v>
      </c>
      <c r="O212">
        <v>2916</v>
      </c>
      <c r="P212">
        <v>4475</v>
      </c>
      <c r="Q212" t="str">
        <f>IF(BikeData[[#This Row],[casual]]+BikeData[[#This Row],[registered]]=BikeData[[#This Row],[cnt]],"OK","Check")</f>
        <v>OK</v>
      </c>
      <c r="R212">
        <f>IF(BikeData[[#This Row],[yr]]=0,2011,2012)</f>
        <v>2011</v>
      </c>
      <c r="S212" t="str">
        <f>CHOOSE(BikeData[[#This Row],[season]],"Winter","Spring","Summer","Fall")</f>
        <v>Summer</v>
      </c>
      <c r="T212" t="str">
        <f>TEXT(DATE(2000,BikeData[[#This Row],[mnth]],1),"mmmm")</f>
        <v>July</v>
      </c>
      <c r="U212" t="str">
        <f>IF(BikeData[[#This Row],[workingday]]=1,"Working Day","Non-working Day")</f>
        <v>Non-working Day</v>
      </c>
      <c r="V212" t="str">
        <f>CHOOSE(BikeData[[#This Row],[weekday]]+1,"Sunday","Monday","Tuesday","Wednesday","Thursday","Friday","Saturday")</f>
        <v>Saturday</v>
      </c>
      <c r="W212" t="str">
        <f>CHOOSE(BikeData[[#This Row],[weathersit]],"Clear / Few Clouds","Mist / Cloudy","Light Rain / Snow","Heavy Rain / Snow")</f>
        <v>Clear / Few Clouds</v>
      </c>
    </row>
    <row r="213" spans="1:23" x14ac:dyDescent="0.3">
      <c r="A213">
        <v>212</v>
      </c>
      <c r="B213" s="1">
        <v>40755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>
        <v>0.80583300000000002</v>
      </c>
      <c r="K213">
        <v>0.729796</v>
      </c>
      <c r="L213">
        <v>0.48083300000000001</v>
      </c>
      <c r="M213">
        <v>0.16481299999999999</v>
      </c>
      <c r="N213">
        <v>1524</v>
      </c>
      <c r="O213">
        <v>2778</v>
      </c>
      <c r="P213">
        <v>4302</v>
      </c>
      <c r="Q213" t="str">
        <f>IF(BikeData[[#This Row],[casual]]+BikeData[[#This Row],[registered]]=BikeData[[#This Row],[cnt]],"OK","Check")</f>
        <v>OK</v>
      </c>
      <c r="R213">
        <f>IF(BikeData[[#This Row],[yr]]=0,2011,2012)</f>
        <v>2011</v>
      </c>
      <c r="S213" t="str">
        <f>CHOOSE(BikeData[[#This Row],[season]],"Winter","Spring","Summer","Fall")</f>
        <v>Summer</v>
      </c>
      <c r="T213" t="str">
        <f>TEXT(DATE(2000,BikeData[[#This Row],[mnth]],1),"mmmm")</f>
        <v>July</v>
      </c>
      <c r="U213" t="str">
        <f>IF(BikeData[[#This Row],[workingday]]=1,"Working Day","Non-working Day")</f>
        <v>Non-working Day</v>
      </c>
      <c r="V213" t="str">
        <f>CHOOSE(BikeData[[#This Row],[weekday]]+1,"Sunday","Monday","Tuesday","Wednesday","Thursday","Friday","Saturday")</f>
        <v>Sunday</v>
      </c>
      <c r="W213" t="str">
        <f>CHOOSE(BikeData[[#This Row],[weathersit]],"Clear / Few Clouds","Mist / Cloudy","Light Rain / Snow","Heavy Rain / Snow")</f>
        <v>Clear / Few Clouds</v>
      </c>
    </row>
    <row r="214" spans="1:23" x14ac:dyDescent="0.3">
      <c r="A214">
        <v>213</v>
      </c>
      <c r="B214" s="1">
        <v>40756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>
        <v>0.77166699999999999</v>
      </c>
      <c r="K214">
        <v>0.70329200000000003</v>
      </c>
      <c r="L214">
        <v>0.55083300000000002</v>
      </c>
      <c r="M214">
        <v>0.156717</v>
      </c>
      <c r="N214">
        <v>729</v>
      </c>
      <c r="O214">
        <v>3537</v>
      </c>
      <c r="P214">
        <v>4266</v>
      </c>
      <c r="Q214" t="str">
        <f>IF(BikeData[[#This Row],[casual]]+BikeData[[#This Row],[registered]]=BikeData[[#This Row],[cnt]],"OK","Check")</f>
        <v>OK</v>
      </c>
      <c r="R214">
        <f>IF(BikeData[[#This Row],[yr]]=0,2011,2012)</f>
        <v>2011</v>
      </c>
      <c r="S214" t="str">
        <f>CHOOSE(BikeData[[#This Row],[season]],"Winter","Spring","Summer","Fall")</f>
        <v>Summer</v>
      </c>
      <c r="T214" t="str">
        <f>TEXT(DATE(2000,BikeData[[#This Row],[mnth]],1),"mmmm")</f>
        <v>August</v>
      </c>
      <c r="U214" t="str">
        <f>IF(BikeData[[#This Row],[workingday]]=1,"Working Day","Non-working Day")</f>
        <v>Working Day</v>
      </c>
      <c r="V214" t="str">
        <f>CHOOSE(BikeData[[#This Row],[weekday]]+1,"Sunday","Monday","Tuesday","Wednesday","Thursday","Friday","Saturday")</f>
        <v>Monday</v>
      </c>
      <c r="W214" t="str">
        <f>CHOOSE(BikeData[[#This Row],[weathersit]],"Clear / Few Clouds","Mist / Cloudy","Light Rain / Snow","Heavy Rain / Snow")</f>
        <v>Clear / Few Clouds</v>
      </c>
    </row>
    <row r="215" spans="1:23" x14ac:dyDescent="0.3">
      <c r="A215">
        <v>214</v>
      </c>
      <c r="B215" s="1">
        <v>40757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>
        <v>0.78333299999999995</v>
      </c>
      <c r="K215">
        <v>0.70707100000000001</v>
      </c>
      <c r="L215">
        <v>0.49125000000000002</v>
      </c>
      <c r="M215">
        <v>0.20585000000000001</v>
      </c>
      <c r="N215">
        <v>801</v>
      </c>
      <c r="O215">
        <v>4044</v>
      </c>
      <c r="P215">
        <v>4845</v>
      </c>
      <c r="Q215" t="str">
        <f>IF(BikeData[[#This Row],[casual]]+BikeData[[#This Row],[registered]]=BikeData[[#This Row],[cnt]],"OK","Check")</f>
        <v>OK</v>
      </c>
      <c r="R215">
        <f>IF(BikeData[[#This Row],[yr]]=0,2011,2012)</f>
        <v>2011</v>
      </c>
      <c r="S215" t="str">
        <f>CHOOSE(BikeData[[#This Row],[season]],"Winter","Spring","Summer","Fall")</f>
        <v>Summer</v>
      </c>
      <c r="T215" t="str">
        <f>TEXT(DATE(2000,BikeData[[#This Row],[mnth]],1),"mmmm")</f>
        <v>August</v>
      </c>
      <c r="U215" t="str">
        <f>IF(BikeData[[#This Row],[workingday]]=1,"Working Day","Non-working Day")</f>
        <v>Working Day</v>
      </c>
      <c r="V215" t="str">
        <f>CHOOSE(BikeData[[#This Row],[weekday]]+1,"Sunday","Monday","Tuesday","Wednesday","Thursday","Friday","Saturday")</f>
        <v>Tuesday</v>
      </c>
      <c r="W215" t="str">
        <f>CHOOSE(BikeData[[#This Row],[weathersit]],"Clear / Few Clouds","Mist / Cloudy","Light Rain / Snow","Heavy Rain / Snow")</f>
        <v>Clear / Few Clouds</v>
      </c>
    </row>
    <row r="216" spans="1:23" x14ac:dyDescent="0.3">
      <c r="A216">
        <v>215</v>
      </c>
      <c r="B216" s="1">
        <v>40758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>
        <v>0.73166699999999996</v>
      </c>
      <c r="K216">
        <v>0.67993700000000001</v>
      </c>
      <c r="L216">
        <v>0.65749999999999997</v>
      </c>
      <c r="M216">
        <v>0.13558300000000001</v>
      </c>
      <c r="N216">
        <v>467</v>
      </c>
      <c r="O216">
        <v>3107</v>
      </c>
      <c r="P216">
        <v>3574</v>
      </c>
      <c r="Q216" t="str">
        <f>IF(BikeData[[#This Row],[casual]]+BikeData[[#This Row],[registered]]=BikeData[[#This Row],[cnt]],"OK","Check")</f>
        <v>OK</v>
      </c>
      <c r="R216">
        <f>IF(BikeData[[#This Row],[yr]]=0,2011,2012)</f>
        <v>2011</v>
      </c>
      <c r="S216" t="str">
        <f>CHOOSE(BikeData[[#This Row],[season]],"Winter","Spring","Summer","Fall")</f>
        <v>Summer</v>
      </c>
      <c r="T216" t="str">
        <f>TEXT(DATE(2000,BikeData[[#This Row],[mnth]],1),"mmmm")</f>
        <v>August</v>
      </c>
      <c r="U216" t="str">
        <f>IF(BikeData[[#This Row],[workingday]]=1,"Working Day","Non-working Day")</f>
        <v>Working Day</v>
      </c>
      <c r="V216" t="str">
        <f>CHOOSE(BikeData[[#This Row],[weekday]]+1,"Sunday","Monday","Tuesday","Wednesday","Thursday","Friday","Saturday")</f>
        <v>Wednesday</v>
      </c>
      <c r="W216" t="str">
        <f>CHOOSE(BikeData[[#This Row],[weathersit]],"Clear / Few Clouds","Mist / Cloudy","Light Rain / Snow","Heavy Rain / Snow")</f>
        <v>Mist / Cloudy</v>
      </c>
    </row>
    <row r="217" spans="1:23" x14ac:dyDescent="0.3">
      <c r="A217">
        <v>216</v>
      </c>
      <c r="B217" s="1">
        <v>40759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>
        <v>0.71</v>
      </c>
      <c r="K217">
        <v>0.66478800000000005</v>
      </c>
      <c r="L217">
        <v>0.75749999999999995</v>
      </c>
      <c r="M217">
        <v>0.19714999999999999</v>
      </c>
      <c r="N217">
        <v>799</v>
      </c>
      <c r="O217">
        <v>3777</v>
      </c>
      <c r="P217">
        <v>4576</v>
      </c>
      <c r="Q217" t="str">
        <f>IF(BikeData[[#This Row],[casual]]+BikeData[[#This Row],[registered]]=BikeData[[#This Row],[cnt]],"OK","Check")</f>
        <v>OK</v>
      </c>
      <c r="R217">
        <f>IF(BikeData[[#This Row],[yr]]=0,2011,2012)</f>
        <v>2011</v>
      </c>
      <c r="S217" t="str">
        <f>CHOOSE(BikeData[[#This Row],[season]],"Winter","Spring","Summer","Fall")</f>
        <v>Summer</v>
      </c>
      <c r="T217" t="str">
        <f>TEXT(DATE(2000,BikeData[[#This Row],[mnth]],1),"mmmm")</f>
        <v>August</v>
      </c>
      <c r="U217" t="str">
        <f>IF(BikeData[[#This Row],[workingday]]=1,"Working Day","Non-working Day")</f>
        <v>Working Day</v>
      </c>
      <c r="V217" t="str">
        <f>CHOOSE(BikeData[[#This Row],[weekday]]+1,"Sunday","Monday","Tuesday","Wednesday","Thursday","Friday","Saturday")</f>
        <v>Thursday</v>
      </c>
      <c r="W217" t="str">
        <f>CHOOSE(BikeData[[#This Row],[weathersit]],"Clear / Few Clouds","Mist / Cloudy","Light Rain / Snow","Heavy Rain / Snow")</f>
        <v>Mist / Cloudy</v>
      </c>
    </row>
    <row r="218" spans="1:23" x14ac:dyDescent="0.3">
      <c r="A218">
        <v>217</v>
      </c>
      <c r="B218" s="1">
        <v>40760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>
        <v>0.71083300000000005</v>
      </c>
      <c r="K218">
        <v>0.65656700000000001</v>
      </c>
      <c r="L218">
        <v>0.63083299999999998</v>
      </c>
      <c r="M218">
        <v>0.184696</v>
      </c>
      <c r="N218">
        <v>1023</v>
      </c>
      <c r="O218">
        <v>3843</v>
      </c>
      <c r="P218">
        <v>4866</v>
      </c>
      <c r="Q218" t="str">
        <f>IF(BikeData[[#This Row],[casual]]+BikeData[[#This Row],[registered]]=BikeData[[#This Row],[cnt]],"OK","Check")</f>
        <v>OK</v>
      </c>
      <c r="R218">
        <f>IF(BikeData[[#This Row],[yr]]=0,2011,2012)</f>
        <v>2011</v>
      </c>
      <c r="S218" t="str">
        <f>CHOOSE(BikeData[[#This Row],[season]],"Winter","Spring","Summer","Fall")</f>
        <v>Summer</v>
      </c>
      <c r="T218" t="str">
        <f>TEXT(DATE(2000,BikeData[[#This Row],[mnth]],1),"mmmm")</f>
        <v>August</v>
      </c>
      <c r="U218" t="str">
        <f>IF(BikeData[[#This Row],[workingday]]=1,"Working Day","Non-working Day")</f>
        <v>Working Day</v>
      </c>
      <c r="V218" t="str">
        <f>CHOOSE(BikeData[[#This Row],[weekday]]+1,"Sunday","Monday","Tuesday","Wednesday","Thursday","Friday","Saturday")</f>
        <v>Friday</v>
      </c>
      <c r="W218" t="str">
        <f>CHOOSE(BikeData[[#This Row],[weathersit]],"Clear / Few Clouds","Mist / Cloudy","Light Rain / Snow","Heavy Rain / Snow")</f>
        <v>Clear / Few Clouds</v>
      </c>
    </row>
    <row r="219" spans="1:23" x14ac:dyDescent="0.3">
      <c r="A219">
        <v>218</v>
      </c>
      <c r="B219" s="1">
        <v>40761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>
        <v>0.71666700000000005</v>
      </c>
      <c r="K219">
        <v>0.67615400000000003</v>
      </c>
      <c r="L219">
        <v>0.755</v>
      </c>
      <c r="M219">
        <v>0.22825000000000001</v>
      </c>
      <c r="N219">
        <v>1521</v>
      </c>
      <c r="O219">
        <v>2773</v>
      </c>
      <c r="P219">
        <v>4294</v>
      </c>
      <c r="Q219" t="str">
        <f>IF(BikeData[[#This Row],[casual]]+BikeData[[#This Row],[registered]]=BikeData[[#This Row],[cnt]],"OK","Check")</f>
        <v>OK</v>
      </c>
      <c r="R219">
        <f>IF(BikeData[[#This Row],[yr]]=0,2011,2012)</f>
        <v>2011</v>
      </c>
      <c r="S219" t="str">
        <f>CHOOSE(BikeData[[#This Row],[season]],"Winter","Spring","Summer","Fall")</f>
        <v>Summer</v>
      </c>
      <c r="T219" t="str">
        <f>TEXT(DATE(2000,BikeData[[#This Row],[mnth]],1),"mmmm")</f>
        <v>August</v>
      </c>
      <c r="U219" t="str">
        <f>IF(BikeData[[#This Row],[workingday]]=1,"Working Day","Non-working Day")</f>
        <v>Non-working Day</v>
      </c>
      <c r="V219" t="str">
        <f>CHOOSE(BikeData[[#This Row],[weekday]]+1,"Sunday","Monday","Tuesday","Wednesday","Thursday","Friday","Saturday")</f>
        <v>Saturday</v>
      </c>
      <c r="W219" t="str">
        <f>CHOOSE(BikeData[[#This Row],[weathersit]],"Clear / Few Clouds","Mist / Cloudy","Light Rain / Snow","Heavy Rain / Snow")</f>
        <v>Mist / Cloudy</v>
      </c>
    </row>
    <row r="220" spans="1:23" x14ac:dyDescent="0.3">
      <c r="A220">
        <v>219</v>
      </c>
      <c r="B220" s="1">
        <v>40762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>
        <v>0.74250000000000005</v>
      </c>
      <c r="K220">
        <v>0.71529200000000004</v>
      </c>
      <c r="L220">
        <v>0.75291699999999995</v>
      </c>
      <c r="M220">
        <v>0.201487</v>
      </c>
      <c r="N220">
        <v>1298</v>
      </c>
      <c r="O220">
        <v>2487</v>
      </c>
      <c r="P220">
        <v>3785</v>
      </c>
      <c r="Q220" t="str">
        <f>IF(BikeData[[#This Row],[casual]]+BikeData[[#This Row],[registered]]=BikeData[[#This Row],[cnt]],"OK","Check")</f>
        <v>OK</v>
      </c>
      <c r="R220">
        <f>IF(BikeData[[#This Row],[yr]]=0,2011,2012)</f>
        <v>2011</v>
      </c>
      <c r="S220" t="str">
        <f>CHOOSE(BikeData[[#This Row],[season]],"Winter","Spring","Summer","Fall")</f>
        <v>Summer</v>
      </c>
      <c r="T220" t="str">
        <f>TEXT(DATE(2000,BikeData[[#This Row],[mnth]],1),"mmmm")</f>
        <v>August</v>
      </c>
      <c r="U220" t="str">
        <f>IF(BikeData[[#This Row],[workingday]]=1,"Working Day","Non-working Day")</f>
        <v>Non-working Day</v>
      </c>
      <c r="V220" t="str">
        <f>CHOOSE(BikeData[[#This Row],[weekday]]+1,"Sunday","Monday","Tuesday","Wednesday","Thursday","Friday","Saturday")</f>
        <v>Sunday</v>
      </c>
      <c r="W220" t="str">
        <f>CHOOSE(BikeData[[#This Row],[weathersit]],"Clear / Few Clouds","Mist / Cloudy","Light Rain / Snow","Heavy Rain / Snow")</f>
        <v>Clear / Few Clouds</v>
      </c>
    </row>
    <row r="221" spans="1:23" x14ac:dyDescent="0.3">
      <c r="A221">
        <v>220</v>
      </c>
      <c r="B221" s="1">
        <v>40763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0.76500000000000001</v>
      </c>
      <c r="K221">
        <v>0.70328299999999999</v>
      </c>
      <c r="L221">
        <v>0.59208300000000003</v>
      </c>
      <c r="M221">
        <v>0.19217500000000001</v>
      </c>
      <c r="N221">
        <v>846</v>
      </c>
      <c r="O221">
        <v>3480</v>
      </c>
      <c r="P221">
        <v>4326</v>
      </c>
      <c r="Q221" t="str">
        <f>IF(BikeData[[#This Row],[casual]]+BikeData[[#This Row],[registered]]=BikeData[[#This Row],[cnt]],"OK","Check")</f>
        <v>OK</v>
      </c>
      <c r="R221">
        <f>IF(BikeData[[#This Row],[yr]]=0,2011,2012)</f>
        <v>2011</v>
      </c>
      <c r="S221" t="str">
        <f>CHOOSE(BikeData[[#This Row],[season]],"Winter","Spring","Summer","Fall")</f>
        <v>Summer</v>
      </c>
      <c r="T221" t="str">
        <f>TEXT(DATE(2000,BikeData[[#This Row],[mnth]],1),"mmmm")</f>
        <v>August</v>
      </c>
      <c r="U221" t="str">
        <f>IF(BikeData[[#This Row],[workingday]]=1,"Working Day","Non-working Day")</f>
        <v>Working Day</v>
      </c>
      <c r="V221" t="str">
        <f>CHOOSE(BikeData[[#This Row],[weekday]]+1,"Sunday","Monday","Tuesday","Wednesday","Thursday","Friday","Saturday")</f>
        <v>Monday</v>
      </c>
      <c r="W221" t="str">
        <f>CHOOSE(BikeData[[#This Row],[weathersit]],"Clear / Few Clouds","Mist / Cloudy","Light Rain / Snow","Heavy Rain / Snow")</f>
        <v>Clear / Few Clouds</v>
      </c>
    </row>
    <row r="222" spans="1:23" x14ac:dyDescent="0.3">
      <c r="A222">
        <v>221</v>
      </c>
      <c r="B222" s="1">
        <v>40764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>
        <v>0.77500000000000002</v>
      </c>
      <c r="K222">
        <v>0.72412100000000001</v>
      </c>
      <c r="L222">
        <v>0.57041699999999995</v>
      </c>
      <c r="M222">
        <v>0.15112100000000001</v>
      </c>
      <c r="N222">
        <v>907</v>
      </c>
      <c r="O222">
        <v>3695</v>
      </c>
      <c r="P222">
        <v>4602</v>
      </c>
      <c r="Q222" t="str">
        <f>IF(BikeData[[#This Row],[casual]]+BikeData[[#This Row],[registered]]=BikeData[[#This Row],[cnt]],"OK","Check")</f>
        <v>OK</v>
      </c>
      <c r="R222">
        <f>IF(BikeData[[#This Row],[yr]]=0,2011,2012)</f>
        <v>2011</v>
      </c>
      <c r="S222" t="str">
        <f>CHOOSE(BikeData[[#This Row],[season]],"Winter","Spring","Summer","Fall")</f>
        <v>Summer</v>
      </c>
      <c r="T222" t="str">
        <f>TEXT(DATE(2000,BikeData[[#This Row],[mnth]],1),"mmmm")</f>
        <v>August</v>
      </c>
      <c r="U222" t="str">
        <f>IF(BikeData[[#This Row],[workingday]]=1,"Working Day","Non-working Day")</f>
        <v>Working Day</v>
      </c>
      <c r="V222" t="str">
        <f>CHOOSE(BikeData[[#This Row],[weekday]]+1,"Sunday","Monday","Tuesday","Wednesday","Thursday","Friday","Saturday")</f>
        <v>Tuesday</v>
      </c>
      <c r="W222" t="str">
        <f>CHOOSE(BikeData[[#This Row],[weathersit]],"Clear / Few Clouds","Mist / Cloudy","Light Rain / Snow","Heavy Rain / Snow")</f>
        <v>Clear / Few Clouds</v>
      </c>
    </row>
    <row r="223" spans="1:23" x14ac:dyDescent="0.3">
      <c r="A223">
        <v>222</v>
      </c>
      <c r="B223" s="1">
        <v>40765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>
        <v>0.76666699999999999</v>
      </c>
      <c r="K223">
        <v>0.68498300000000001</v>
      </c>
      <c r="L223">
        <v>0.42416700000000002</v>
      </c>
      <c r="M223">
        <v>0.20025799999999999</v>
      </c>
      <c r="N223">
        <v>884</v>
      </c>
      <c r="O223">
        <v>3896</v>
      </c>
      <c r="P223">
        <v>4780</v>
      </c>
      <c r="Q223" t="str">
        <f>IF(BikeData[[#This Row],[casual]]+BikeData[[#This Row],[registered]]=BikeData[[#This Row],[cnt]],"OK","Check")</f>
        <v>OK</v>
      </c>
      <c r="R223">
        <f>IF(BikeData[[#This Row],[yr]]=0,2011,2012)</f>
        <v>2011</v>
      </c>
      <c r="S223" t="str">
        <f>CHOOSE(BikeData[[#This Row],[season]],"Winter","Spring","Summer","Fall")</f>
        <v>Summer</v>
      </c>
      <c r="T223" t="str">
        <f>TEXT(DATE(2000,BikeData[[#This Row],[mnth]],1),"mmmm")</f>
        <v>August</v>
      </c>
      <c r="U223" t="str">
        <f>IF(BikeData[[#This Row],[workingday]]=1,"Working Day","Non-working Day")</f>
        <v>Working Day</v>
      </c>
      <c r="V223" t="str">
        <f>CHOOSE(BikeData[[#This Row],[weekday]]+1,"Sunday","Monday","Tuesday","Wednesday","Thursday","Friday","Saturday")</f>
        <v>Wednesday</v>
      </c>
      <c r="W223" t="str">
        <f>CHOOSE(BikeData[[#This Row],[weathersit]],"Clear / Few Clouds","Mist / Cloudy","Light Rain / Snow","Heavy Rain / Snow")</f>
        <v>Clear / Few Clouds</v>
      </c>
    </row>
    <row r="224" spans="1:23" x14ac:dyDescent="0.3">
      <c r="A224">
        <v>223</v>
      </c>
      <c r="B224" s="1">
        <v>40766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>
        <v>0.71750000000000003</v>
      </c>
      <c r="K224">
        <v>0.65152100000000002</v>
      </c>
      <c r="L224">
        <v>0.42375000000000002</v>
      </c>
      <c r="M224">
        <v>0.164796</v>
      </c>
      <c r="N224">
        <v>812</v>
      </c>
      <c r="O224">
        <v>3980</v>
      </c>
      <c r="P224">
        <v>4792</v>
      </c>
      <c r="Q224" t="str">
        <f>IF(BikeData[[#This Row],[casual]]+BikeData[[#This Row],[registered]]=BikeData[[#This Row],[cnt]],"OK","Check")</f>
        <v>OK</v>
      </c>
      <c r="R224">
        <f>IF(BikeData[[#This Row],[yr]]=0,2011,2012)</f>
        <v>2011</v>
      </c>
      <c r="S224" t="str">
        <f>CHOOSE(BikeData[[#This Row],[season]],"Winter","Spring","Summer","Fall")</f>
        <v>Summer</v>
      </c>
      <c r="T224" t="str">
        <f>TEXT(DATE(2000,BikeData[[#This Row],[mnth]],1),"mmmm")</f>
        <v>August</v>
      </c>
      <c r="U224" t="str">
        <f>IF(BikeData[[#This Row],[workingday]]=1,"Working Day","Non-working Day")</f>
        <v>Working Day</v>
      </c>
      <c r="V224" t="str">
        <f>CHOOSE(BikeData[[#This Row],[weekday]]+1,"Sunday","Monday","Tuesday","Wednesday","Thursday","Friday","Saturday")</f>
        <v>Thursday</v>
      </c>
      <c r="W224" t="str">
        <f>CHOOSE(BikeData[[#This Row],[weathersit]],"Clear / Few Clouds","Mist / Cloudy","Light Rain / Snow","Heavy Rain / Snow")</f>
        <v>Clear / Few Clouds</v>
      </c>
    </row>
    <row r="225" spans="1:23" x14ac:dyDescent="0.3">
      <c r="A225">
        <v>224</v>
      </c>
      <c r="B225" s="1">
        <v>40767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>
        <v>0.70833299999999999</v>
      </c>
      <c r="K225">
        <v>0.65404200000000001</v>
      </c>
      <c r="L225">
        <v>0.41499999999999998</v>
      </c>
      <c r="M225">
        <v>0.12562100000000001</v>
      </c>
      <c r="N225">
        <v>1051</v>
      </c>
      <c r="O225">
        <v>3854</v>
      </c>
      <c r="P225">
        <v>4905</v>
      </c>
      <c r="Q225" t="str">
        <f>IF(BikeData[[#This Row],[casual]]+BikeData[[#This Row],[registered]]=BikeData[[#This Row],[cnt]],"OK","Check")</f>
        <v>OK</v>
      </c>
      <c r="R225">
        <f>IF(BikeData[[#This Row],[yr]]=0,2011,2012)</f>
        <v>2011</v>
      </c>
      <c r="S225" t="str">
        <f>CHOOSE(BikeData[[#This Row],[season]],"Winter","Spring","Summer","Fall")</f>
        <v>Summer</v>
      </c>
      <c r="T225" t="str">
        <f>TEXT(DATE(2000,BikeData[[#This Row],[mnth]],1),"mmmm")</f>
        <v>August</v>
      </c>
      <c r="U225" t="str">
        <f>IF(BikeData[[#This Row],[workingday]]=1,"Working Day","Non-working Day")</f>
        <v>Working Day</v>
      </c>
      <c r="V225" t="str">
        <f>CHOOSE(BikeData[[#This Row],[weekday]]+1,"Sunday","Monday","Tuesday","Wednesday","Thursday","Friday","Saturday")</f>
        <v>Friday</v>
      </c>
      <c r="W225" t="str">
        <f>CHOOSE(BikeData[[#This Row],[weathersit]],"Clear / Few Clouds","Mist / Cloudy","Light Rain / Snow","Heavy Rain / Snow")</f>
        <v>Clear / Few Clouds</v>
      </c>
    </row>
    <row r="226" spans="1:23" x14ac:dyDescent="0.3">
      <c r="A226">
        <v>225</v>
      </c>
      <c r="B226" s="1">
        <v>40768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>
        <v>0.68583300000000003</v>
      </c>
      <c r="K226">
        <v>0.64585800000000004</v>
      </c>
      <c r="L226">
        <v>0.72958299999999998</v>
      </c>
      <c r="M226">
        <v>0.211454</v>
      </c>
      <c r="N226">
        <v>1504</v>
      </c>
      <c r="O226">
        <v>2646</v>
      </c>
      <c r="P226">
        <v>4150</v>
      </c>
      <c r="Q226" t="str">
        <f>IF(BikeData[[#This Row],[casual]]+BikeData[[#This Row],[registered]]=BikeData[[#This Row],[cnt]],"OK","Check")</f>
        <v>OK</v>
      </c>
      <c r="R226">
        <f>IF(BikeData[[#This Row],[yr]]=0,2011,2012)</f>
        <v>2011</v>
      </c>
      <c r="S226" t="str">
        <f>CHOOSE(BikeData[[#This Row],[season]],"Winter","Spring","Summer","Fall")</f>
        <v>Summer</v>
      </c>
      <c r="T226" t="str">
        <f>TEXT(DATE(2000,BikeData[[#This Row],[mnth]],1),"mmmm")</f>
        <v>August</v>
      </c>
      <c r="U226" t="str">
        <f>IF(BikeData[[#This Row],[workingday]]=1,"Working Day","Non-working Day")</f>
        <v>Non-working Day</v>
      </c>
      <c r="V226" t="str">
        <f>CHOOSE(BikeData[[#This Row],[weekday]]+1,"Sunday","Monday","Tuesday","Wednesday","Thursday","Friday","Saturday")</f>
        <v>Saturday</v>
      </c>
      <c r="W226" t="str">
        <f>CHOOSE(BikeData[[#This Row],[weathersit]],"Clear / Few Clouds","Mist / Cloudy","Light Rain / Snow","Heavy Rain / Snow")</f>
        <v>Mist / Cloudy</v>
      </c>
    </row>
    <row r="227" spans="1:23" x14ac:dyDescent="0.3">
      <c r="A227">
        <v>226</v>
      </c>
      <c r="B227" s="1">
        <v>40769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>
        <v>0.67666700000000002</v>
      </c>
      <c r="K227">
        <v>0.62438800000000005</v>
      </c>
      <c r="L227">
        <v>0.8175</v>
      </c>
      <c r="M227">
        <v>0.222633</v>
      </c>
      <c r="N227">
        <v>1338</v>
      </c>
      <c r="O227">
        <v>2482</v>
      </c>
      <c r="P227">
        <v>3820</v>
      </c>
      <c r="Q227" t="str">
        <f>IF(BikeData[[#This Row],[casual]]+BikeData[[#This Row],[registered]]=BikeData[[#This Row],[cnt]],"OK","Check")</f>
        <v>OK</v>
      </c>
      <c r="R227">
        <f>IF(BikeData[[#This Row],[yr]]=0,2011,2012)</f>
        <v>2011</v>
      </c>
      <c r="S227" t="str">
        <f>CHOOSE(BikeData[[#This Row],[season]],"Winter","Spring","Summer","Fall")</f>
        <v>Summer</v>
      </c>
      <c r="T227" t="str">
        <f>TEXT(DATE(2000,BikeData[[#This Row],[mnth]],1),"mmmm")</f>
        <v>August</v>
      </c>
      <c r="U227" t="str">
        <f>IF(BikeData[[#This Row],[workingday]]=1,"Working Day","Non-working Day")</f>
        <v>Non-working Day</v>
      </c>
      <c r="V227" t="str">
        <f>CHOOSE(BikeData[[#This Row],[weekday]]+1,"Sunday","Monday","Tuesday","Wednesday","Thursday","Friday","Saturday")</f>
        <v>Sunday</v>
      </c>
      <c r="W227" t="str">
        <f>CHOOSE(BikeData[[#This Row],[weathersit]],"Clear / Few Clouds","Mist / Cloudy","Light Rain / Snow","Heavy Rain / Snow")</f>
        <v>Mist / Cloudy</v>
      </c>
    </row>
    <row r="228" spans="1:23" x14ac:dyDescent="0.3">
      <c r="A228">
        <v>227</v>
      </c>
      <c r="B228" s="1">
        <v>40770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>
        <v>0.66583300000000001</v>
      </c>
      <c r="K228">
        <v>0.61616700000000002</v>
      </c>
      <c r="L228">
        <v>0.71208300000000002</v>
      </c>
      <c r="M228">
        <v>0.208954</v>
      </c>
      <c r="N228">
        <v>775</v>
      </c>
      <c r="O228">
        <v>3563</v>
      </c>
      <c r="P228">
        <v>4338</v>
      </c>
      <c r="Q228" t="str">
        <f>IF(BikeData[[#This Row],[casual]]+BikeData[[#This Row],[registered]]=BikeData[[#This Row],[cnt]],"OK","Check")</f>
        <v>OK</v>
      </c>
      <c r="R228">
        <f>IF(BikeData[[#This Row],[yr]]=0,2011,2012)</f>
        <v>2011</v>
      </c>
      <c r="S228" t="str">
        <f>CHOOSE(BikeData[[#This Row],[season]],"Winter","Spring","Summer","Fall")</f>
        <v>Summer</v>
      </c>
      <c r="T228" t="str">
        <f>TEXT(DATE(2000,BikeData[[#This Row],[mnth]],1),"mmmm")</f>
        <v>August</v>
      </c>
      <c r="U228" t="str">
        <f>IF(BikeData[[#This Row],[workingday]]=1,"Working Day","Non-working Day")</f>
        <v>Working Day</v>
      </c>
      <c r="V228" t="str">
        <f>CHOOSE(BikeData[[#This Row],[weekday]]+1,"Sunday","Monday","Tuesday","Wednesday","Thursday","Friday","Saturday")</f>
        <v>Monday</v>
      </c>
      <c r="W228" t="str">
        <f>CHOOSE(BikeData[[#This Row],[weathersit]],"Clear / Few Clouds","Mist / Cloudy","Light Rain / Snow","Heavy Rain / Snow")</f>
        <v>Clear / Few Clouds</v>
      </c>
    </row>
    <row r="229" spans="1:23" x14ac:dyDescent="0.3">
      <c r="A229">
        <v>228</v>
      </c>
      <c r="B229" s="1">
        <v>40771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>
        <v>0.70083300000000004</v>
      </c>
      <c r="K229">
        <v>0.64583699999999999</v>
      </c>
      <c r="L229">
        <v>0.57833299999999999</v>
      </c>
      <c r="M229">
        <v>0.23632900000000001</v>
      </c>
      <c r="N229">
        <v>721</v>
      </c>
      <c r="O229">
        <v>4004</v>
      </c>
      <c r="P229">
        <v>4725</v>
      </c>
      <c r="Q229" t="str">
        <f>IF(BikeData[[#This Row],[casual]]+BikeData[[#This Row],[registered]]=BikeData[[#This Row],[cnt]],"OK","Check")</f>
        <v>OK</v>
      </c>
      <c r="R229">
        <f>IF(BikeData[[#This Row],[yr]]=0,2011,2012)</f>
        <v>2011</v>
      </c>
      <c r="S229" t="str">
        <f>CHOOSE(BikeData[[#This Row],[season]],"Winter","Spring","Summer","Fall")</f>
        <v>Summer</v>
      </c>
      <c r="T229" t="str">
        <f>TEXT(DATE(2000,BikeData[[#This Row],[mnth]],1),"mmmm")</f>
        <v>August</v>
      </c>
      <c r="U229" t="str">
        <f>IF(BikeData[[#This Row],[workingday]]=1,"Working Day","Non-working Day")</f>
        <v>Working Day</v>
      </c>
      <c r="V229" t="str">
        <f>CHOOSE(BikeData[[#This Row],[weekday]]+1,"Sunday","Monday","Tuesday","Wednesday","Thursday","Friday","Saturday")</f>
        <v>Tuesday</v>
      </c>
      <c r="W229" t="str">
        <f>CHOOSE(BikeData[[#This Row],[weathersit]],"Clear / Few Clouds","Mist / Cloudy","Light Rain / Snow","Heavy Rain / Snow")</f>
        <v>Clear / Few Clouds</v>
      </c>
    </row>
    <row r="230" spans="1:23" x14ac:dyDescent="0.3">
      <c r="A230">
        <v>229</v>
      </c>
      <c r="B230" s="1">
        <v>40772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>
        <v>0.723333</v>
      </c>
      <c r="K230">
        <v>0.66667100000000001</v>
      </c>
      <c r="L230">
        <v>0.57541699999999996</v>
      </c>
      <c r="M230">
        <v>0.14366699999999999</v>
      </c>
      <c r="N230">
        <v>668</v>
      </c>
      <c r="O230">
        <v>4026</v>
      </c>
      <c r="P230">
        <v>4694</v>
      </c>
      <c r="Q230" t="str">
        <f>IF(BikeData[[#This Row],[casual]]+BikeData[[#This Row],[registered]]=BikeData[[#This Row],[cnt]],"OK","Check")</f>
        <v>OK</v>
      </c>
      <c r="R230">
        <f>IF(BikeData[[#This Row],[yr]]=0,2011,2012)</f>
        <v>2011</v>
      </c>
      <c r="S230" t="str">
        <f>CHOOSE(BikeData[[#This Row],[season]],"Winter","Spring","Summer","Fall")</f>
        <v>Summer</v>
      </c>
      <c r="T230" t="str">
        <f>TEXT(DATE(2000,BikeData[[#This Row],[mnth]],1),"mmmm")</f>
        <v>August</v>
      </c>
      <c r="U230" t="str">
        <f>IF(BikeData[[#This Row],[workingday]]=1,"Working Day","Non-working Day")</f>
        <v>Working Day</v>
      </c>
      <c r="V230" t="str">
        <f>CHOOSE(BikeData[[#This Row],[weekday]]+1,"Sunday","Monday","Tuesday","Wednesday","Thursday","Friday","Saturday")</f>
        <v>Wednesday</v>
      </c>
      <c r="W230" t="str">
        <f>CHOOSE(BikeData[[#This Row],[weathersit]],"Clear / Few Clouds","Mist / Cloudy","Light Rain / Snow","Heavy Rain / Snow")</f>
        <v>Clear / Few Clouds</v>
      </c>
    </row>
    <row r="231" spans="1:23" x14ac:dyDescent="0.3">
      <c r="A231">
        <v>230</v>
      </c>
      <c r="B231" s="1">
        <v>40773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>
        <v>0.71166700000000005</v>
      </c>
      <c r="K231">
        <v>0.66225800000000001</v>
      </c>
      <c r="L231">
        <v>0.65458300000000003</v>
      </c>
      <c r="M231">
        <v>0.233208</v>
      </c>
      <c r="N231">
        <v>639</v>
      </c>
      <c r="O231">
        <v>3166</v>
      </c>
      <c r="P231">
        <v>3805</v>
      </c>
      <c r="Q231" t="str">
        <f>IF(BikeData[[#This Row],[casual]]+BikeData[[#This Row],[registered]]=BikeData[[#This Row],[cnt]],"OK","Check")</f>
        <v>OK</v>
      </c>
      <c r="R231">
        <f>IF(BikeData[[#This Row],[yr]]=0,2011,2012)</f>
        <v>2011</v>
      </c>
      <c r="S231" t="str">
        <f>CHOOSE(BikeData[[#This Row],[season]],"Winter","Spring","Summer","Fall")</f>
        <v>Summer</v>
      </c>
      <c r="T231" t="str">
        <f>TEXT(DATE(2000,BikeData[[#This Row],[mnth]],1),"mmmm")</f>
        <v>August</v>
      </c>
      <c r="U231" t="str">
        <f>IF(BikeData[[#This Row],[workingday]]=1,"Working Day","Non-working Day")</f>
        <v>Working Day</v>
      </c>
      <c r="V231" t="str">
        <f>CHOOSE(BikeData[[#This Row],[weekday]]+1,"Sunday","Monday","Tuesday","Wednesday","Thursday","Friday","Saturday")</f>
        <v>Thursday</v>
      </c>
      <c r="W231" t="str">
        <f>CHOOSE(BikeData[[#This Row],[weathersit]],"Clear / Few Clouds","Mist / Cloudy","Light Rain / Snow","Heavy Rain / Snow")</f>
        <v>Clear / Few Clouds</v>
      </c>
    </row>
    <row r="232" spans="1:23" x14ac:dyDescent="0.3">
      <c r="A232">
        <v>231</v>
      </c>
      <c r="B232" s="1">
        <v>40774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>
        <v>0.68500000000000005</v>
      </c>
      <c r="K232">
        <v>0.63322100000000003</v>
      </c>
      <c r="L232">
        <v>0.72291700000000003</v>
      </c>
      <c r="M232">
        <v>0.13930799999999999</v>
      </c>
      <c r="N232">
        <v>797</v>
      </c>
      <c r="O232">
        <v>3356</v>
      </c>
      <c r="P232">
        <v>4153</v>
      </c>
      <c r="Q232" t="str">
        <f>IF(BikeData[[#This Row],[casual]]+BikeData[[#This Row],[registered]]=BikeData[[#This Row],[cnt]],"OK","Check")</f>
        <v>OK</v>
      </c>
      <c r="R232">
        <f>IF(BikeData[[#This Row],[yr]]=0,2011,2012)</f>
        <v>2011</v>
      </c>
      <c r="S232" t="str">
        <f>CHOOSE(BikeData[[#This Row],[season]],"Winter","Spring","Summer","Fall")</f>
        <v>Summer</v>
      </c>
      <c r="T232" t="str">
        <f>TEXT(DATE(2000,BikeData[[#This Row],[mnth]],1),"mmmm")</f>
        <v>August</v>
      </c>
      <c r="U232" t="str">
        <f>IF(BikeData[[#This Row],[workingday]]=1,"Working Day","Non-working Day")</f>
        <v>Working Day</v>
      </c>
      <c r="V232" t="str">
        <f>CHOOSE(BikeData[[#This Row],[weekday]]+1,"Sunday","Monday","Tuesday","Wednesday","Thursday","Friday","Saturday")</f>
        <v>Friday</v>
      </c>
      <c r="W232" t="str">
        <f>CHOOSE(BikeData[[#This Row],[weathersit]],"Clear / Few Clouds","Mist / Cloudy","Light Rain / Snow","Heavy Rain / Snow")</f>
        <v>Mist / Cloudy</v>
      </c>
    </row>
    <row r="233" spans="1:23" x14ac:dyDescent="0.3">
      <c r="A233">
        <v>232</v>
      </c>
      <c r="B233" s="1">
        <v>40775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>
        <v>0.69750000000000001</v>
      </c>
      <c r="K233">
        <v>0.64899600000000002</v>
      </c>
      <c r="L233">
        <v>0.67416699999999996</v>
      </c>
      <c r="M233">
        <v>0.104467</v>
      </c>
      <c r="N233">
        <v>1914</v>
      </c>
      <c r="O233">
        <v>3277</v>
      </c>
      <c r="P233">
        <v>5191</v>
      </c>
      <c r="Q233" t="str">
        <f>IF(BikeData[[#This Row],[casual]]+BikeData[[#This Row],[registered]]=BikeData[[#This Row],[cnt]],"OK","Check")</f>
        <v>OK</v>
      </c>
      <c r="R233">
        <f>IF(BikeData[[#This Row],[yr]]=0,2011,2012)</f>
        <v>2011</v>
      </c>
      <c r="S233" t="str">
        <f>CHOOSE(BikeData[[#This Row],[season]],"Winter","Spring","Summer","Fall")</f>
        <v>Summer</v>
      </c>
      <c r="T233" t="str">
        <f>TEXT(DATE(2000,BikeData[[#This Row],[mnth]],1),"mmmm")</f>
        <v>August</v>
      </c>
      <c r="U233" t="str">
        <f>IF(BikeData[[#This Row],[workingday]]=1,"Working Day","Non-working Day")</f>
        <v>Non-working Day</v>
      </c>
      <c r="V233" t="str">
        <f>CHOOSE(BikeData[[#This Row],[weekday]]+1,"Sunday","Monday","Tuesday","Wednesday","Thursday","Friday","Saturday")</f>
        <v>Saturday</v>
      </c>
      <c r="W233" t="str">
        <f>CHOOSE(BikeData[[#This Row],[weathersit]],"Clear / Few Clouds","Mist / Cloudy","Light Rain / Snow","Heavy Rain / Snow")</f>
        <v>Clear / Few Clouds</v>
      </c>
    </row>
    <row r="234" spans="1:23" x14ac:dyDescent="0.3">
      <c r="A234">
        <v>233</v>
      </c>
      <c r="B234" s="1">
        <v>40776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>
        <v>0.71083300000000005</v>
      </c>
      <c r="K234">
        <v>0.67552500000000004</v>
      </c>
      <c r="L234">
        <v>0.77</v>
      </c>
      <c r="M234">
        <v>0.248754</v>
      </c>
      <c r="N234">
        <v>1249</v>
      </c>
      <c r="O234">
        <v>2624</v>
      </c>
      <c r="P234">
        <v>3873</v>
      </c>
      <c r="Q234" t="str">
        <f>IF(BikeData[[#This Row],[casual]]+BikeData[[#This Row],[registered]]=BikeData[[#This Row],[cnt]],"OK","Check")</f>
        <v>OK</v>
      </c>
      <c r="R234">
        <f>IF(BikeData[[#This Row],[yr]]=0,2011,2012)</f>
        <v>2011</v>
      </c>
      <c r="S234" t="str">
        <f>CHOOSE(BikeData[[#This Row],[season]],"Winter","Spring","Summer","Fall")</f>
        <v>Summer</v>
      </c>
      <c r="T234" t="str">
        <f>TEXT(DATE(2000,BikeData[[#This Row],[mnth]],1),"mmmm")</f>
        <v>August</v>
      </c>
      <c r="U234" t="str">
        <f>IF(BikeData[[#This Row],[workingday]]=1,"Working Day","Non-working Day")</f>
        <v>Non-working Day</v>
      </c>
      <c r="V234" t="str">
        <f>CHOOSE(BikeData[[#This Row],[weekday]]+1,"Sunday","Monday","Tuesday","Wednesday","Thursday","Friday","Saturday")</f>
        <v>Sunday</v>
      </c>
      <c r="W234" t="str">
        <f>CHOOSE(BikeData[[#This Row],[weathersit]],"Clear / Few Clouds","Mist / Cloudy","Light Rain / Snow","Heavy Rain / Snow")</f>
        <v>Clear / Few Clouds</v>
      </c>
    </row>
    <row r="235" spans="1:23" x14ac:dyDescent="0.3">
      <c r="A235">
        <v>234</v>
      </c>
      <c r="B235" s="1">
        <v>40777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>
        <v>0.69166700000000003</v>
      </c>
      <c r="K235">
        <v>0.63825399999999999</v>
      </c>
      <c r="L235">
        <v>0.47</v>
      </c>
      <c r="M235">
        <v>0.27675</v>
      </c>
      <c r="N235">
        <v>833</v>
      </c>
      <c r="O235">
        <v>3925</v>
      </c>
      <c r="P235">
        <v>4758</v>
      </c>
      <c r="Q235" t="str">
        <f>IF(BikeData[[#This Row],[casual]]+BikeData[[#This Row],[registered]]=BikeData[[#This Row],[cnt]],"OK","Check")</f>
        <v>OK</v>
      </c>
      <c r="R235">
        <f>IF(BikeData[[#This Row],[yr]]=0,2011,2012)</f>
        <v>2011</v>
      </c>
      <c r="S235" t="str">
        <f>CHOOSE(BikeData[[#This Row],[season]],"Winter","Spring","Summer","Fall")</f>
        <v>Summer</v>
      </c>
      <c r="T235" t="str">
        <f>TEXT(DATE(2000,BikeData[[#This Row],[mnth]],1),"mmmm")</f>
        <v>August</v>
      </c>
      <c r="U235" t="str">
        <f>IF(BikeData[[#This Row],[workingday]]=1,"Working Day","Non-working Day")</f>
        <v>Working Day</v>
      </c>
      <c r="V235" t="str">
        <f>CHOOSE(BikeData[[#This Row],[weekday]]+1,"Sunday","Monday","Tuesday","Wednesday","Thursday","Friday","Saturday")</f>
        <v>Monday</v>
      </c>
      <c r="W235" t="str">
        <f>CHOOSE(BikeData[[#This Row],[weathersit]],"Clear / Few Clouds","Mist / Cloudy","Light Rain / Snow","Heavy Rain / Snow")</f>
        <v>Clear / Few Clouds</v>
      </c>
    </row>
    <row r="236" spans="1:23" x14ac:dyDescent="0.3">
      <c r="A236">
        <v>235</v>
      </c>
      <c r="B236" s="1">
        <v>40778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>
        <v>0.64083299999999999</v>
      </c>
      <c r="K236">
        <v>0.60606700000000002</v>
      </c>
      <c r="L236">
        <v>0.45541700000000002</v>
      </c>
      <c r="M236">
        <v>0.146763</v>
      </c>
      <c r="N236">
        <v>1281</v>
      </c>
      <c r="O236">
        <v>4614</v>
      </c>
      <c r="P236">
        <v>5895</v>
      </c>
      <c r="Q236" t="str">
        <f>IF(BikeData[[#This Row],[casual]]+BikeData[[#This Row],[registered]]=BikeData[[#This Row],[cnt]],"OK","Check")</f>
        <v>OK</v>
      </c>
      <c r="R236">
        <f>IF(BikeData[[#This Row],[yr]]=0,2011,2012)</f>
        <v>2011</v>
      </c>
      <c r="S236" t="str">
        <f>CHOOSE(BikeData[[#This Row],[season]],"Winter","Spring","Summer","Fall")</f>
        <v>Summer</v>
      </c>
      <c r="T236" t="str">
        <f>TEXT(DATE(2000,BikeData[[#This Row],[mnth]],1),"mmmm")</f>
        <v>August</v>
      </c>
      <c r="U236" t="str">
        <f>IF(BikeData[[#This Row],[workingday]]=1,"Working Day","Non-working Day")</f>
        <v>Working Day</v>
      </c>
      <c r="V236" t="str">
        <f>CHOOSE(BikeData[[#This Row],[weekday]]+1,"Sunday","Monday","Tuesday","Wednesday","Thursday","Friday","Saturday")</f>
        <v>Tuesday</v>
      </c>
      <c r="W236" t="str">
        <f>CHOOSE(BikeData[[#This Row],[weathersit]],"Clear / Few Clouds","Mist / Cloudy","Light Rain / Snow","Heavy Rain / Snow")</f>
        <v>Clear / Few Clouds</v>
      </c>
    </row>
    <row r="237" spans="1:23" x14ac:dyDescent="0.3">
      <c r="A237">
        <v>236</v>
      </c>
      <c r="B237" s="1">
        <v>40779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>
        <v>0.67333299999999996</v>
      </c>
      <c r="K237">
        <v>0.63069200000000003</v>
      </c>
      <c r="L237">
        <v>0.60499999999999998</v>
      </c>
      <c r="M237">
        <v>0.253108</v>
      </c>
      <c r="N237">
        <v>949</v>
      </c>
      <c r="O237">
        <v>4181</v>
      </c>
      <c r="P237">
        <v>5130</v>
      </c>
      <c r="Q237" t="str">
        <f>IF(BikeData[[#This Row],[casual]]+BikeData[[#This Row],[registered]]=BikeData[[#This Row],[cnt]],"OK","Check")</f>
        <v>OK</v>
      </c>
      <c r="R237">
        <f>IF(BikeData[[#This Row],[yr]]=0,2011,2012)</f>
        <v>2011</v>
      </c>
      <c r="S237" t="str">
        <f>CHOOSE(BikeData[[#This Row],[season]],"Winter","Spring","Summer","Fall")</f>
        <v>Summer</v>
      </c>
      <c r="T237" t="str">
        <f>TEXT(DATE(2000,BikeData[[#This Row],[mnth]],1),"mmmm")</f>
        <v>August</v>
      </c>
      <c r="U237" t="str">
        <f>IF(BikeData[[#This Row],[workingday]]=1,"Working Day","Non-working Day")</f>
        <v>Working Day</v>
      </c>
      <c r="V237" t="str">
        <f>CHOOSE(BikeData[[#This Row],[weekday]]+1,"Sunday","Monday","Tuesday","Wednesday","Thursday","Friday","Saturday")</f>
        <v>Wednesday</v>
      </c>
      <c r="W237" t="str">
        <f>CHOOSE(BikeData[[#This Row],[weathersit]],"Clear / Few Clouds","Mist / Cloudy","Light Rain / Snow","Heavy Rain / Snow")</f>
        <v>Clear / Few Clouds</v>
      </c>
    </row>
    <row r="238" spans="1:23" x14ac:dyDescent="0.3">
      <c r="A238">
        <v>237</v>
      </c>
      <c r="B238" s="1">
        <v>40780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>
        <v>0.68416699999999997</v>
      </c>
      <c r="K238">
        <v>0.64585400000000004</v>
      </c>
      <c r="L238">
        <v>0.77166699999999999</v>
      </c>
      <c r="M238">
        <v>0.21083299999999999</v>
      </c>
      <c r="N238">
        <v>435</v>
      </c>
      <c r="O238">
        <v>3107</v>
      </c>
      <c r="P238">
        <v>3542</v>
      </c>
      <c r="Q238" t="str">
        <f>IF(BikeData[[#This Row],[casual]]+BikeData[[#This Row],[registered]]=BikeData[[#This Row],[cnt]],"OK","Check")</f>
        <v>OK</v>
      </c>
      <c r="R238">
        <f>IF(BikeData[[#This Row],[yr]]=0,2011,2012)</f>
        <v>2011</v>
      </c>
      <c r="S238" t="str">
        <f>CHOOSE(BikeData[[#This Row],[season]],"Winter","Spring","Summer","Fall")</f>
        <v>Summer</v>
      </c>
      <c r="T238" t="str">
        <f>TEXT(DATE(2000,BikeData[[#This Row],[mnth]],1),"mmmm")</f>
        <v>August</v>
      </c>
      <c r="U238" t="str">
        <f>IF(BikeData[[#This Row],[workingday]]=1,"Working Day","Non-working Day")</f>
        <v>Working Day</v>
      </c>
      <c r="V238" t="str">
        <f>CHOOSE(BikeData[[#This Row],[weekday]]+1,"Sunday","Monday","Tuesday","Wednesday","Thursday","Friday","Saturday")</f>
        <v>Thursday</v>
      </c>
      <c r="W238" t="str">
        <f>CHOOSE(BikeData[[#This Row],[weathersit]],"Clear / Few Clouds","Mist / Cloudy","Light Rain / Snow","Heavy Rain / Snow")</f>
        <v>Mist / Cloudy</v>
      </c>
    </row>
    <row r="239" spans="1:23" x14ac:dyDescent="0.3">
      <c r="A239">
        <v>238</v>
      </c>
      <c r="B239" s="1">
        <v>40781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>
        <v>0.7</v>
      </c>
      <c r="K239">
        <v>0.65973300000000001</v>
      </c>
      <c r="L239">
        <v>0.76124999999999998</v>
      </c>
      <c r="M239">
        <v>8.3962499999999995E-2</v>
      </c>
      <c r="N239">
        <v>768</v>
      </c>
      <c r="O239">
        <v>3893</v>
      </c>
      <c r="P239">
        <v>4661</v>
      </c>
      <c r="Q239" t="str">
        <f>IF(BikeData[[#This Row],[casual]]+BikeData[[#This Row],[registered]]=BikeData[[#This Row],[cnt]],"OK","Check")</f>
        <v>OK</v>
      </c>
      <c r="R239">
        <f>IF(BikeData[[#This Row],[yr]]=0,2011,2012)</f>
        <v>2011</v>
      </c>
      <c r="S239" t="str">
        <f>CHOOSE(BikeData[[#This Row],[season]],"Winter","Spring","Summer","Fall")</f>
        <v>Summer</v>
      </c>
      <c r="T239" t="str">
        <f>TEXT(DATE(2000,BikeData[[#This Row],[mnth]],1),"mmmm")</f>
        <v>August</v>
      </c>
      <c r="U239" t="str">
        <f>IF(BikeData[[#This Row],[workingday]]=1,"Working Day","Non-working Day")</f>
        <v>Working Day</v>
      </c>
      <c r="V239" t="str">
        <f>CHOOSE(BikeData[[#This Row],[weekday]]+1,"Sunday","Monday","Tuesday","Wednesday","Thursday","Friday","Saturday")</f>
        <v>Friday</v>
      </c>
      <c r="W239" t="str">
        <f>CHOOSE(BikeData[[#This Row],[weathersit]],"Clear / Few Clouds","Mist / Cloudy","Light Rain / Snow","Heavy Rain / Snow")</f>
        <v>Clear / Few Clouds</v>
      </c>
    </row>
    <row r="240" spans="1:23" x14ac:dyDescent="0.3">
      <c r="A240">
        <v>239</v>
      </c>
      <c r="B240" s="1">
        <v>40782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>
        <v>0.68</v>
      </c>
      <c r="K240">
        <v>0.63555600000000001</v>
      </c>
      <c r="L240">
        <v>0.85</v>
      </c>
      <c r="M240">
        <v>0.37561699999999998</v>
      </c>
      <c r="N240">
        <v>226</v>
      </c>
      <c r="O240">
        <v>889</v>
      </c>
      <c r="P240">
        <v>1115</v>
      </c>
      <c r="Q240" t="str">
        <f>IF(BikeData[[#This Row],[casual]]+BikeData[[#This Row],[registered]]=BikeData[[#This Row],[cnt]],"OK","Check")</f>
        <v>OK</v>
      </c>
      <c r="R240">
        <f>IF(BikeData[[#This Row],[yr]]=0,2011,2012)</f>
        <v>2011</v>
      </c>
      <c r="S240" t="str">
        <f>CHOOSE(BikeData[[#This Row],[season]],"Winter","Spring","Summer","Fall")</f>
        <v>Summer</v>
      </c>
      <c r="T240" t="str">
        <f>TEXT(DATE(2000,BikeData[[#This Row],[mnth]],1),"mmmm")</f>
        <v>August</v>
      </c>
      <c r="U240" t="str">
        <f>IF(BikeData[[#This Row],[workingday]]=1,"Working Day","Non-working Day")</f>
        <v>Non-working Day</v>
      </c>
      <c r="V240" t="str">
        <f>CHOOSE(BikeData[[#This Row],[weekday]]+1,"Sunday","Monday","Tuesday","Wednesday","Thursday","Friday","Saturday")</f>
        <v>Saturday</v>
      </c>
      <c r="W240" t="str">
        <f>CHOOSE(BikeData[[#This Row],[weathersit]],"Clear / Few Clouds","Mist / Cloudy","Light Rain / Snow","Heavy Rain / Snow")</f>
        <v>Mist / Cloudy</v>
      </c>
    </row>
    <row r="241" spans="1:23" x14ac:dyDescent="0.3">
      <c r="A241">
        <v>240</v>
      </c>
      <c r="B241" s="1">
        <v>40783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>
        <v>0.70705899999999999</v>
      </c>
      <c r="K241">
        <v>0.64795899999999995</v>
      </c>
      <c r="L241">
        <v>0.56176499999999996</v>
      </c>
      <c r="M241">
        <v>0.30465900000000001</v>
      </c>
      <c r="N241">
        <v>1415</v>
      </c>
      <c r="O241">
        <v>2919</v>
      </c>
      <c r="P241">
        <v>4334</v>
      </c>
      <c r="Q241" t="str">
        <f>IF(BikeData[[#This Row],[casual]]+BikeData[[#This Row],[registered]]=BikeData[[#This Row],[cnt]],"OK","Check")</f>
        <v>OK</v>
      </c>
      <c r="R241">
        <f>IF(BikeData[[#This Row],[yr]]=0,2011,2012)</f>
        <v>2011</v>
      </c>
      <c r="S241" t="str">
        <f>CHOOSE(BikeData[[#This Row],[season]],"Winter","Spring","Summer","Fall")</f>
        <v>Summer</v>
      </c>
      <c r="T241" t="str">
        <f>TEXT(DATE(2000,BikeData[[#This Row],[mnth]],1),"mmmm")</f>
        <v>August</v>
      </c>
      <c r="U241" t="str">
        <f>IF(BikeData[[#This Row],[workingday]]=1,"Working Day","Non-working Day")</f>
        <v>Non-working Day</v>
      </c>
      <c r="V241" t="str">
        <f>CHOOSE(BikeData[[#This Row],[weekday]]+1,"Sunday","Monday","Tuesday","Wednesday","Thursday","Friday","Saturday")</f>
        <v>Sunday</v>
      </c>
      <c r="W241" t="str">
        <f>CHOOSE(BikeData[[#This Row],[weathersit]],"Clear / Few Clouds","Mist / Cloudy","Light Rain / Snow","Heavy Rain / Snow")</f>
        <v>Clear / Few Clouds</v>
      </c>
    </row>
    <row r="242" spans="1:23" x14ac:dyDescent="0.3">
      <c r="A242">
        <v>241</v>
      </c>
      <c r="B242" s="1">
        <v>40784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>
        <v>0.63666699999999998</v>
      </c>
      <c r="K242">
        <v>0.607958</v>
      </c>
      <c r="L242">
        <v>0.55458300000000005</v>
      </c>
      <c r="M242">
        <v>0.15982499999999999</v>
      </c>
      <c r="N242">
        <v>729</v>
      </c>
      <c r="O242">
        <v>3905</v>
      </c>
      <c r="P242">
        <v>4634</v>
      </c>
      <c r="Q242" t="str">
        <f>IF(BikeData[[#This Row],[casual]]+BikeData[[#This Row],[registered]]=BikeData[[#This Row],[cnt]],"OK","Check")</f>
        <v>OK</v>
      </c>
      <c r="R242">
        <f>IF(BikeData[[#This Row],[yr]]=0,2011,2012)</f>
        <v>2011</v>
      </c>
      <c r="S242" t="str">
        <f>CHOOSE(BikeData[[#This Row],[season]],"Winter","Spring","Summer","Fall")</f>
        <v>Summer</v>
      </c>
      <c r="T242" t="str">
        <f>TEXT(DATE(2000,BikeData[[#This Row],[mnth]],1),"mmmm")</f>
        <v>August</v>
      </c>
      <c r="U242" t="str">
        <f>IF(BikeData[[#This Row],[workingday]]=1,"Working Day","Non-working Day")</f>
        <v>Working Day</v>
      </c>
      <c r="V242" t="str">
        <f>CHOOSE(BikeData[[#This Row],[weekday]]+1,"Sunday","Monday","Tuesday","Wednesday","Thursday","Friday","Saturday")</f>
        <v>Monday</v>
      </c>
      <c r="W242" t="str">
        <f>CHOOSE(BikeData[[#This Row],[weathersit]],"Clear / Few Clouds","Mist / Cloudy","Light Rain / Snow","Heavy Rain / Snow")</f>
        <v>Clear / Few Clouds</v>
      </c>
    </row>
    <row r="243" spans="1:23" x14ac:dyDescent="0.3">
      <c r="A243">
        <v>242</v>
      </c>
      <c r="B243" s="1">
        <v>40785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>
        <v>0.63916700000000004</v>
      </c>
      <c r="K243">
        <v>0.59470400000000001</v>
      </c>
      <c r="L243">
        <v>0.54833299999999996</v>
      </c>
      <c r="M243">
        <v>0.12500800000000001</v>
      </c>
      <c r="N243">
        <v>775</v>
      </c>
      <c r="O243">
        <v>4429</v>
      </c>
      <c r="P243">
        <v>5204</v>
      </c>
      <c r="Q243" t="str">
        <f>IF(BikeData[[#This Row],[casual]]+BikeData[[#This Row],[registered]]=BikeData[[#This Row],[cnt]],"OK","Check")</f>
        <v>OK</v>
      </c>
      <c r="R243">
        <f>IF(BikeData[[#This Row],[yr]]=0,2011,2012)</f>
        <v>2011</v>
      </c>
      <c r="S243" t="str">
        <f>CHOOSE(BikeData[[#This Row],[season]],"Winter","Spring","Summer","Fall")</f>
        <v>Summer</v>
      </c>
      <c r="T243" t="str">
        <f>TEXT(DATE(2000,BikeData[[#This Row],[mnth]],1),"mmmm")</f>
        <v>August</v>
      </c>
      <c r="U243" t="str">
        <f>IF(BikeData[[#This Row],[workingday]]=1,"Working Day","Non-working Day")</f>
        <v>Working Day</v>
      </c>
      <c r="V243" t="str">
        <f>CHOOSE(BikeData[[#This Row],[weekday]]+1,"Sunday","Monday","Tuesday","Wednesday","Thursday","Friday","Saturday")</f>
        <v>Tuesday</v>
      </c>
      <c r="W243" t="str">
        <f>CHOOSE(BikeData[[#This Row],[weathersit]],"Clear / Few Clouds","Mist / Cloudy","Light Rain / Snow","Heavy Rain / Snow")</f>
        <v>Clear / Few Clouds</v>
      </c>
    </row>
    <row r="244" spans="1:23" x14ac:dyDescent="0.3">
      <c r="A244">
        <v>243</v>
      </c>
      <c r="B244" s="1">
        <v>40786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>
        <v>0.656667</v>
      </c>
      <c r="K244">
        <v>0.61112100000000003</v>
      </c>
      <c r="L244">
        <v>0.59791700000000003</v>
      </c>
      <c r="M244">
        <v>8.3333299999999999E-2</v>
      </c>
      <c r="N244">
        <v>688</v>
      </c>
      <c r="O244">
        <v>4370</v>
      </c>
      <c r="P244">
        <v>5058</v>
      </c>
      <c r="Q244" t="str">
        <f>IF(BikeData[[#This Row],[casual]]+BikeData[[#This Row],[registered]]=BikeData[[#This Row],[cnt]],"OK","Check")</f>
        <v>OK</v>
      </c>
      <c r="R244">
        <f>IF(BikeData[[#This Row],[yr]]=0,2011,2012)</f>
        <v>2011</v>
      </c>
      <c r="S244" t="str">
        <f>CHOOSE(BikeData[[#This Row],[season]],"Winter","Spring","Summer","Fall")</f>
        <v>Summer</v>
      </c>
      <c r="T244" t="str">
        <f>TEXT(DATE(2000,BikeData[[#This Row],[mnth]],1),"mmmm")</f>
        <v>August</v>
      </c>
      <c r="U244" t="str">
        <f>IF(BikeData[[#This Row],[workingday]]=1,"Working Day","Non-working Day")</f>
        <v>Working Day</v>
      </c>
      <c r="V244" t="str">
        <f>CHOOSE(BikeData[[#This Row],[weekday]]+1,"Sunday","Monday","Tuesday","Wednesday","Thursday","Friday","Saturday")</f>
        <v>Wednesday</v>
      </c>
      <c r="W244" t="str">
        <f>CHOOSE(BikeData[[#This Row],[weathersit]],"Clear / Few Clouds","Mist / Cloudy","Light Rain / Snow","Heavy Rain / Snow")</f>
        <v>Clear / Few Clouds</v>
      </c>
    </row>
    <row r="245" spans="1:23" x14ac:dyDescent="0.3">
      <c r="A245">
        <v>244</v>
      </c>
      <c r="B245" s="1">
        <v>40787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>
        <v>0.65500000000000003</v>
      </c>
      <c r="K245">
        <v>0.61492100000000005</v>
      </c>
      <c r="L245">
        <v>0.63916700000000004</v>
      </c>
      <c r="M245">
        <v>0.14179600000000001</v>
      </c>
      <c r="N245">
        <v>783</v>
      </c>
      <c r="O245">
        <v>4332</v>
      </c>
      <c r="P245">
        <v>5115</v>
      </c>
      <c r="Q245" t="str">
        <f>IF(BikeData[[#This Row],[casual]]+BikeData[[#This Row],[registered]]=BikeData[[#This Row],[cnt]],"OK","Check")</f>
        <v>OK</v>
      </c>
      <c r="R245">
        <f>IF(BikeData[[#This Row],[yr]]=0,2011,2012)</f>
        <v>2011</v>
      </c>
      <c r="S245" t="str">
        <f>CHOOSE(BikeData[[#This Row],[season]],"Winter","Spring","Summer","Fall")</f>
        <v>Summer</v>
      </c>
      <c r="T245" t="str">
        <f>TEXT(DATE(2000,BikeData[[#This Row],[mnth]],1),"mmmm")</f>
        <v>September</v>
      </c>
      <c r="U245" t="str">
        <f>IF(BikeData[[#This Row],[workingday]]=1,"Working Day","Non-working Day")</f>
        <v>Working Day</v>
      </c>
      <c r="V245" t="str">
        <f>CHOOSE(BikeData[[#This Row],[weekday]]+1,"Sunday","Monday","Tuesday","Wednesday","Thursday","Friday","Saturday")</f>
        <v>Thursday</v>
      </c>
      <c r="W245" t="str">
        <f>CHOOSE(BikeData[[#This Row],[weathersit]],"Clear / Few Clouds","Mist / Cloudy","Light Rain / Snow","Heavy Rain / Snow")</f>
        <v>Clear / Few Clouds</v>
      </c>
    </row>
    <row r="246" spans="1:23" x14ac:dyDescent="0.3">
      <c r="A246">
        <v>245</v>
      </c>
      <c r="B246" s="1">
        <v>40788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>
        <v>0.64333300000000004</v>
      </c>
      <c r="K246">
        <v>0.60480800000000001</v>
      </c>
      <c r="L246">
        <v>0.72708300000000003</v>
      </c>
      <c r="M246">
        <v>0.139929</v>
      </c>
      <c r="N246">
        <v>875</v>
      </c>
      <c r="O246">
        <v>3852</v>
      </c>
      <c r="P246">
        <v>4727</v>
      </c>
      <c r="Q246" t="str">
        <f>IF(BikeData[[#This Row],[casual]]+BikeData[[#This Row],[registered]]=BikeData[[#This Row],[cnt]],"OK","Check")</f>
        <v>OK</v>
      </c>
      <c r="R246">
        <f>IF(BikeData[[#This Row],[yr]]=0,2011,2012)</f>
        <v>2011</v>
      </c>
      <c r="S246" t="str">
        <f>CHOOSE(BikeData[[#This Row],[season]],"Winter","Spring","Summer","Fall")</f>
        <v>Summer</v>
      </c>
      <c r="T246" t="str">
        <f>TEXT(DATE(2000,BikeData[[#This Row],[mnth]],1),"mmmm")</f>
        <v>September</v>
      </c>
      <c r="U246" t="str">
        <f>IF(BikeData[[#This Row],[workingday]]=1,"Working Day","Non-working Day")</f>
        <v>Working Day</v>
      </c>
      <c r="V246" t="str">
        <f>CHOOSE(BikeData[[#This Row],[weekday]]+1,"Sunday","Monday","Tuesday","Wednesday","Thursday","Friday","Saturday")</f>
        <v>Friday</v>
      </c>
      <c r="W246" t="str">
        <f>CHOOSE(BikeData[[#This Row],[weathersit]],"Clear / Few Clouds","Mist / Cloudy","Light Rain / Snow","Heavy Rain / Snow")</f>
        <v>Mist / Cloudy</v>
      </c>
    </row>
    <row r="247" spans="1:23" x14ac:dyDescent="0.3">
      <c r="A247">
        <v>246</v>
      </c>
      <c r="B247" s="1">
        <v>40789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>
        <v>0.66916699999999996</v>
      </c>
      <c r="K247">
        <v>0.63321300000000003</v>
      </c>
      <c r="L247">
        <v>0.71666700000000005</v>
      </c>
      <c r="M247">
        <v>0.18532499999999999</v>
      </c>
      <c r="N247">
        <v>1935</v>
      </c>
      <c r="O247">
        <v>2549</v>
      </c>
      <c r="P247">
        <v>4484</v>
      </c>
      <c r="Q247" t="str">
        <f>IF(BikeData[[#This Row],[casual]]+BikeData[[#This Row],[registered]]=BikeData[[#This Row],[cnt]],"OK","Check")</f>
        <v>OK</v>
      </c>
      <c r="R247">
        <f>IF(BikeData[[#This Row],[yr]]=0,2011,2012)</f>
        <v>2011</v>
      </c>
      <c r="S247" t="str">
        <f>CHOOSE(BikeData[[#This Row],[season]],"Winter","Spring","Summer","Fall")</f>
        <v>Summer</v>
      </c>
      <c r="T247" t="str">
        <f>TEXT(DATE(2000,BikeData[[#This Row],[mnth]],1),"mmmm")</f>
        <v>September</v>
      </c>
      <c r="U247" t="str">
        <f>IF(BikeData[[#This Row],[workingday]]=1,"Working Day","Non-working Day")</f>
        <v>Non-working Day</v>
      </c>
      <c r="V247" t="str">
        <f>CHOOSE(BikeData[[#This Row],[weekday]]+1,"Sunday","Monday","Tuesday","Wednesday","Thursday","Friday","Saturday")</f>
        <v>Saturday</v>
      </c>
      <c r="W247" t="str">
        <f>CHOOSE(BikeData[[#This Row],[weathersit]],"Clear / Few Clouds","Mist / Cloudy","Light Rain / Snow","Heavy Rain / Snow")</f>
        <v>Clear / Few Clouds</v>
      </c>
    </row>
    <row r="248" spans="1:23" x14ac:dyDescent="0.3">
      <c r="A248">
        <v>247</v>
      </c>
      <c r="B248" s="1">
        <v>40790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>
        <v>0.70916699999999999</v>
      </c>
      <c r="K248">
        <v>0.66542900000000005</v>
      </c>
      <c r="L248">
        <v>0.74208300000000005</v>
      </c>
      <c r="M248">
        <v>0.20646700000000001</v>
      </c>
      <c r="N248">
        <v>2521</v>
      </c>
      <c r="O248">
        <v>2419</v>
      </c>
      <c r="P248">
        <v>4940</v>
      </c>
      <c r="Q248" t="str">
        <f>IF(BikeData[[#This Row],[casual]]+BikeData[[#This Row],[registered]]=BikeData[[#This Row],[cnt]],"OK","Check")</f>
        <v>OK</v>
      </c>
      <c r="R248">
        <f>IF(BikeData[[#This Row],[yr]]=0,2011,2012)</f>
        <v>2011</v>
      </c>
      <c r="S248" t="str">
        <f>CHOOSE(BikeData[[#This Row],[season]],"Winter","Spring","Summer","Fall")</f>
        <v>Summer</v>
      </c>
      <c r="T248" t="str">
        <f>TEXT(DATE(2000,BikeData[[#This Row],[mnth]],1),"mmmm")</f>
        <v>September</v>
      </c>
      <c r="U248" t="str">
        <f>IF(BikeData[[#This Row],[workingday]]=1,"Working Day","Non-working Day")</f>
        <v>Non-working Day</v>
      </c>
      <c r="V248" t="str">
        <f>CHOOSE(BikeData[[#This Row],[weekday]]+1,"Sunday","Monday","Tuesday","Wednesday","Thursday","Friday","Saturday")</f>
        <v>Sunday</v>
      </c>
      <c r="W248" t="str">
        <f>CHOOSE(BikeData[[#This Row],[weathersit]],"Clear / Few Clouds","Mist / Cloudy","Light Rain / Snow","Heavy Rain / Snow")</f>
        <v>Clear / Few Clouds</v>
      </c>
    </row>
    <row r="249" spans="1:23" x14ac:dyDescent="0.3">
      <c r="A249">
        <v>248</v>
      </c>
      <c r="B249" s="1">
        <v>40791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>
        <v>0.67333299999999996</v>
      </c>
      <c r="K249">
        <v>0.62564600000000004</v>
      </c>
      <c r="L249">
        <v>0.79041700000000004</v>
      </c>
      <c r="M249">
        <v>0.212696</v>
      </c>
      <c r="N249">
        <v>1236</v>
      </c>
      <c r="O249">
        <v>2115</v>
      </c>
      <c r="P249">
        <v>3351</v>
      </c>
      <c r="Q249" t="str">
        <f>IF(BikeData[[#This Row],[casual]]+BikeData[[#This Row],[registered]]=BikeData[[#This Row],[cnt]],"OK","Check")</f>
        <v>OK</v>
      </c>
      <c r="R249">
        <f>IF(BikeData[[#This Row],[yr]]=0,2011,2012)</f>
        <v>2011</v>
      </c>
      <c r="S249" t="str">
        <f>CHOOSE(BikeData[[#This Row],[season]],"Winter","Spring","Summer","Fall")</f>
        <v>Summer</v>
      </c>
      <c r="T249" t="str">
        <f>TEXT(DATE(2000,BikeData[[#This Row],[mnth]],1),"mmmm")</f>
        <v>September</v>
      </c>
      <c r="U249" t="str">
        <f>IF(BikeData[[#This Row],[workingday]]=1,"Working Day","Non-working Day")</f>
        <v>Non-working Day</v>
      </c>
      <c r="V249" t="str">
        <f>CHOOSE(BikeData[[#This Row],[weekday]]+1,"Sunday","Monday","Tuesday","Wednesday","Thursday","Friday","Saturday")</f>
        <v>Monday</v>
      </c>
      <c r="W249" t="str">
        <f>CHOOSE(BikeData[[#This Row],[weathersit]],"Clear / Few Clouds","Mist / Cloudy","Light Rain / Snow","Heavy Rain / Snow")</f>
        <v>Mist / Cloudy</v>
      </c>
    </row>
    <row r="250" spans="1:23" x14ac:dyDescent="0.3">
      <c r="A250">
        <v>249</v>
      </c>
      <c r="B250" s="1">
        <v>40792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>
        <v>0.54</v>
      </c>
      <c r="K250">
        <v>0.51519999999999999</v>
      </c>
      <c r="L250">
        <v>0.886957</v>
      </c>
      <c r="M250">
        <v>0.343943</v>
      </c>
      <c r="N250">
        <v>204</v>
      </c>
      <c r="O250">
        <v>2506</v>
      </c>
      <c r="P250">
        <v>2710</v>
      </c>
      <c r="Q250" t="str">
        <f>IF(BikeData[[#This Row],[casual]]+BikeData[[#This Row],[registered]]=BikeData[[#This Row],[cnt]],"OK","Check")</f>
        <v>OK</v>
      </c>
      <c r="R250">
        <f>IF(BikeData[[#This Row],[yr]]=0,2011,2012)</f>
        <v>2011</v>
      </c>
      <c r="S250" t="str">
        <f>CHOOSE(BikeData[[#This Row],[season]],"Winter","Spring","Summer","Fall")</f>
        <v>Summer</v>
      </c>
      <c r="T250" t="str">
        <f>TEXT(DATE(2000,BikeData[[#This Row],[mnth]],1),"mmmm")</f>
        <v>September</v>
      </c>
      <c r="U250" t="str">
        <f>IF(BikeData[[#This Row],[workingday]]=1,"Working Day","Non-working Day")</f>
        <v>Working Day</v>
      </c>
      <c r="V250" t="str">
        <f>CHOOSE(BikeData[[#This Row],[weekday]]+1,"Sunday","Monday","Tuesday","Wednesday","Thursday","Friday","Saturday")</f>
        <v>Tuesday</v>
      </c>
      <c r="W250" t="str">
        <f>CHOOSE(BikeData[[#This Row],[weathersit]],"Clear / Few Clouds","Mist / Cloudy","Light Rain / Snow","Heavy Rain / Snow")</f>
        <v>Light Rain / Snow</v>
      </c>
    </row>
    <row r="251" spans="1:23" x14ac:dyDescent="0.3">
      <c r="A251">
        <v>250</v>
      </c>
      <c r="B251" s="1">
        <v>40793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>
        <v>0.59916700000000001</v>
      </c>
      <c r="K251">
        <v>0.54422899999999996</v>
      </c>
      <c r="L251">
        <v>0.91708299999999998</v>
      </c>
      <c r="M251">
        <v>9.7020800000000004E-2</v>
      </c>
      <c r="N251">
        <v>118</v>
      </c>
      <c r="O251">
        <v>1878</v>
      </c>
      <c r="P251">
        <v>1996</v>
      </c>
      <c r="Q251" t="str">
        <f>IF(BikeData[[#This Row],[casual]]+BikeData[[#This Row],[registered]]=BikeData[[#This Row],[cnt]],"OK","Check")</f>
        <v>OK</v>
      </c>
      <c r="R251">
        <f>IF(BikeData[[#This Row],[yr]]=0,2011,2012)</f>
        <v>2011</v>
      </c>
      <c r="S251" t="str">
        <f>CHOOSE(BikeData[[#This Row],[season]],"Winter","Spring","Summer","Fall")</f>
        <v>Summer</v>
      </c>
      <c r="T251" t="str">
        <f>TEXT(DATE(2000,BikeData[[#This Row],[mnth]],1),"mmmm")</f>
        <v>September</v>
      </c>
      <c r="U251" t="str">
        <f>IF(BikeData[[#This Row],[workingday]]=1,"Working Day","Non-working Day")</f>
        <v>Working Day</v>
      </c>
      <c r="V251" t="str">
        <f>CHOOSE(BikeData[[#This Row],[weekday]]+1,"Sunday","Monday","Tuesday","Wednesday","Thursday","Friday","Saturday")</f>
        <v>Wednesday</v>
      </c>
      <c r="W251" t="str">
        <f>CHOOSE(BikeData[[#This Row],[weathersit]],"Clear / Few Clouds","Mist / Cloudy","Light Rain / Snow","Heavy Rain / Snow")</f>
        <v>Light Rain / Snow</v>
      </c>
    </row>
    <row r="252" spans="1:23" x14ac:dyDescent="0.3">
      <c r="A252">
        <v>251</v>
      </c>
      <c r="B252" s="1">
        <v>40794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>
        <v>0.63391299999999995</v>
      </c>
      <c r="K252">
        <v>0.55536099999999999</v>
      </c>
      <c r="L252">
        <v>0.93956499999999998</v>
      </c>
      <c r="M252">
        <v>0.192748</v>
      </c>
      <c r="N252">
        <v>153</v>
      </c>
      <c r="O252">
        <v>1689</v>
      </c>
      <c r="P252">
        <v>1842</v>
      </c>
      <c r="Q252" t="str">
        <f>IF(BikeData[[#This Row],[casual]]+BikeData[[#This Row],[registered]]=BikeData[[#This Row],[cnt]],"OK","Check")</f>
        <v>OK</v>
      </c>
      <c r="R252">
        <f>IF(BikeData[[#This Row],[yr]]=0,2011,2012)</f>
        <v>2011</v>
      </c>
      <c r="S252" t="str">
        <f>CHOOSE(BikeData[[#This Row],[season]],"Winter","Spring","Summer","Fall")</f>
        <v>Summer</v>
      </c>
      <c r="T252" t="str">
        <f>TEXT(DATE(2000,BikeData[[#This Row],[mnth]],1),"mmmm")</f>
        <v>September</v>
      </c>
      <c r="U252" t="str">
        <f>IF(BikeData[[#This Row],[workingday]]=1,"Working Day","Non-working Day")</f>
        <v>Working Day</v>
      </c>
      <c r="V252" t="str">
        <f>CHOOSE(BikeData[[#This Row],[weekday]]+1,"Sunday","Monday","Tuesday","Wednesday","Thursday","Friday","Saturday")</f>
        <v>Thursday</v>
      </c>
      <c r="W252" t="str">
        <f>CHOOSE(BikeData[[#This Row],[weathersit]],"Clear / Few Clouds","Mist / Cloudy","Light Rain / Snow","Heavy Rain / Snow")</f>
        <v>Light Rain / Snow</v>
      </c>
    </row>
    <row r="253" spans="1:23" x14ac:dyDescent="0.3">
      <c r="A253">
        <v>252</v>
      </c>
      <c r="B253" s="1">
        <v>40795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>
        <v>0.65</v>
      </c>
      <c r="K253">
        <v>0.57894599999999996</v>
      </c>
      <c r="L253">
        <v>0.89791699999999997</v>
      </c>
      <c r="M253">
        <v>0.124379</v>
      </c>
      <c r="N253">
        <v>417</v>
      </c>
      <c r="O253">
        <v>3127</v>
      </c>
      <c r="P253">
        <v>3544</v>
      </c>
      <c r="Q253" t="str">
        <f>IF(BikeData[[#This Row],[casual]]+BikeData[[#This Row],[registered]]=BikeData[[#This Row],[cnt]],"OK","Check")</f>
        <v>OK</v>
      </c>
      <c r="R253">
        <f>IF(BikeData[[#This Row],[yr]]=0,2011,2012)</f>
        <v>2011</v>
      </c>
      <c r="S253" t="str">
        <f>CHOOSE(BikeData[[#This Row],[season]],"Winter","Spring","Summer","Fall")</f>
        <v>Summer</v>
      </c>
      <c r="T253" t="str">
        <f>TEXT(DATE(2000,BikeData[[#This Row],[mnth]],1),"mmmm")</f>
        <v>September</v>
      </c>
      <c r="U253" t="str">
        <f>IF(BikeData[[#This Row],[workingday]]=1,"Working Day","Non-working Day")</f>
        <v>Working Day</v>
      </c>
      <c r="V253" t="str">
        <f>CHOOSE(BikeData[[#This Row],[weekday]]+1,"Sunday","Monday","Tuesday","Wednesday","Thursday","Friday","Saturday")</f>
        <v>Friday</v>
      </c>
      <c r="W253" t="str">
        <f>CHOOSE(BikeData[[#This Row],[weathersit]],"Clear / Few Clouds","Mist / Cloudy","Light Rain / Snow","Heavy Rain / Snow")</f>
        <v>Mist / Cloudy</v>
      </c>
    </row>
    <row r="254" spans="1:23" x14ac:dyDescent="0.3">
      <c r="A254">
        <v>253</v>
      </c>
      <c r="B254" s="1">
        <v>40796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>
        <v>0.66</v>
      </c>
      <c r="K254">
        <v>0.607962</v>
      </c>
      <c r="L254">
        <v>0.75375000000000003</v>
      </c>
      <c r="M254">
        <v>0.15360799999999999</v>
      </c>
      <c r="N254">
        <v>1750</v>
      </c>
      <c r="O254">
        <v>3595</v>
      </c>
      <c r="P254">
        <v>5345</v>
      </c>
      <c r="Q254" t="str">
        <f>IF(BikeData[[#This Row],[casual]]+BikeData[[#This Row],[registered]]=BikeData[[#This Row],[cnt]],"OK","Check")</f>
        <v>OK</v>
      </c>
      <c r="R254">
        <f>IF(BikeData[[#This Row],[yr]]=0,2011,2012)</f>
        <v>2011</v>
      </c>
      <c r="S254" t="str">
        <f>CHOOSE(BikeData[[#This Row],[season]],"Winter","Spring","Summer","Fall")</f>
        <v>Summer</v>
      </c>
      <c r="T254" t="str">
        <f>TEXT(DATE(2000,BikeData[[#This Row],[mnth]],1),"mmmm")</f>
        <v>September</v>
      </c>
      <c r="U254" t="str">
        <f>IF(BikeData[[#This Row],[workingday]]=1,"Working Day","Non-working Day")</f>
        <v>Non-working Day</v>
      </c>
      <c r="V254" t="str">
        <f>CHOOSE(BikeData[[#This Row],[weekday]]+1,"Sunday","Monday","Tuesday","Wednesday","Thursday","Friday","Saturday")</f>
        <v>Saturday</v>
      </c>
      <c r="W254" t="str">
        <f>CHOOSE(BikeData[[#This Row],[weathersit]],"Clear / Few Clouds","Mist / Cloudy","Light Rain / Snow","Heavy Rain / Snow")</f>
        <v>Clear / Few Clouds</v>
      </c>
    </row>
    <row r="255" spans="1:23" x14ac:dyDescent="0.3">
      <c r="A255">
        <v>254</v>
      </c>
      <c r="B255" s="1">
        <v>40797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>
        <v>0.65333300000000005</v>
      </c>
      <c r="K255">
        <v>0.60922900000000002</v>
      </c>
      <c r="L255">
        <v>0.71375</v>
      </c>
      <c r="M255">
        <v>0.115054</v>
      </c>
      <c r="N255">
        <v>1633</v>
      </c>
      <c r="O255">
        <v>3413</v>
      </c>
      <c r="P255">
        <v>5046</v>
      </c>
      <c r="Q255" t="str">
        <f>IF(BikeData[[#This Row],[casual]]+BikeData[[#This Row],[registered]]=BikeData[[#This Row],[cnt]],"OK","Check")</f>
        <v>OK</v>
      </c>
      <c r="R255">
        <f>IF(BikeData[[#This Row],[yr]]=0,2011,2012)</f>
        <v>2011</v>
      </c>
      <c r="S255" t="str">
        <f>CHOOSE(BikeData[[#This Row],[season]],"Winter","Spring","Summer","Fall")</f>
        <v>Summer</v>
      </c>
      <c r="T255" t="str">
        <f>TEXT(DATE(2000,BikeData[[#This Row],[mnth]],1),"mmmm")</f>
        <v>September</v>
      </c>
      <c r="U255" t="str">
        <f>IF(BikeData[[#This Row],[workingday]]=1,"Working Day","Non-working Day")</f>
        <v>Non-working Day</v>
      </c>
      <c r="V255" t="str">
        <f>CHOOSE(BikeData[[#This Row],[weekday]]+1,"Sunday","Monday","Tuesday","Wednesday","Thursday","Friday","Saturday")</f>
        <v>Sunday</v>
      </c>
      <c r="W255" t="str">
        <f>CHOOSE(BikeData[[#This Row],[weathersit]],"Clear / Few Clouds","Mist / Cloudy","Light Rain / Snow","Heavy Rain / Snow")</f>
        <v>Clear / Few Clouds</v>
      </c>
    </row>
    <row r="256" spans="1:23" x14ac:dyDescent="0.3">
      <c r="A256">
        <v>255</v>
      </c>
      <c r="B256" s="1">
        <v>40798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>
        <v>0.64434800000000003</v>
      </c>
      <c r="K256">
        <v>0.60213000000000005</v>
      </c>
      <c r="L256">
        <v>0.69217399999999996</v>
      </c>
      <c r="M256">
        <v>8.8913000000000006E-2</v>
      </c>
      <c r="N256">
        <v>690</v>
      </c>
      <c r="O256">
        <v>4023</v>
      </c>
      <c r="P256">
        <v>4713</v>
      </c>
      <c r="Q256" t="str">
        <f>IF(BikeData[[#This Row],[casual]]+BikeData[[#This Row],[registered]]=BikeData[[#This Row],[cnt]],"OK","Check")</f>
        <v>OK</v>
      </c>
      <c r="R256">
        <f>IF(BikeData[[#This Row],[yr]]=0,2011,2012)</f>
        <v>2011</v>
      </c>
      <c r="S256" t="str">
        <f>CHOOSE(BikeData[[#This Row],[season]],"Winter","Spring","Summer","Fall")</f>
        <v>Summer</v>
      </c>
      <c r="T256" t="str">
        <f>TEXT(DATE(2000,BikeData[[#This Row],[mnth]],1),"mmmm")</f>
        <v>September</v>
      </c>
      <c r="U256" t="str">
        <f>IF(BikeData[[#This Row],[workingday]]=1,"Working Day","Non-working Day")</f>
        <v>Working Day</v>
      </c>
      <c r="V256" t="str">
        <f>CHOOSE(BikeData[[#This Row],[weekday]]+1,"Sunday","Monday","Tuesday","Wednesday","Thursday","Friday","Saturday")</f>
        <v>Monday</v>
      </c>
      <c r="W256" t="str">
        <f>CHOOSE(BikeData[[#This Row],[weathersit]],"Clear / Few Clouds","Mist / Cloudy","Light Rain / Snow","Heavy Rain / Snow")</f>
        <v>Clear / Few Clouds</v>
      </c>
    </row>
    <row r="257" spans="1:23" x14ac:dyDescent="0.3">
      <c r="A257">
        <v>256</v>
      </c>
      <c r="B257" s="1">
        <v>40799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>
        <v>0.65083299999999999</v>
      </c>
      <c r="K257">
        <v>0.60355400000000003</v>
      </c>
      <c r="L257">
        <v>0.71250000000000002</v>
      </c>
      <c r="M257">
        <v>0.14180400000000001</v>
      </c>
      <c r="N257">
        <v>701</v>
      </c>
      <c r="O257">
        <v>4062</v>
      </c>
      <c r="P257">
        <v>4763</v>
      </c>
      <c r="Q257" t="str">
        <f>IF(BikeData[[#This Row],[casual]]+BikeData[[#This Row],[registered]]=BikeData[[#This Row],[cnt]],"OK","Check")</f>
        <v>OK</v>
      </c>
      <c r="R257">
        <f>IF(BikeData[[#This Row],[yr]]=0,2011,2012)</f>
        <v>2011</v>
      </c>
      <c r="S257" t="str">
        <f>CHOOSE(BikeData[[#This Row],[season]],"Winter","Spring","Summer","Fall")</f>
        <v>Summer</v>
      </c>
      <c r="T257" t="str">
        <f>TEXT(DATE(2000,BikeData[[#This Row],[mnth]],1),"mmmm")</f>
        <v>September</v>
      </c>
      <c r="U257" t="str">
        <f>IF(BikeData[[#This Row],[workingday]]=1,"Working Day","Non-working Day")</f>
        <v>Working Day</v>
      </c>
      <c r="V257" t="str">
        <f>CHOOSE(BikeData[[#This Row],[weekday]]+1,"Sunday","Monday","Tuesday","Wednesday","Thursday","Friday","Saturday")</f>
        <v>Tuesday</v>
      </c>
      <c r="W257" t="str">
        <f>CHOOSE(BikeData[[#This Row],[weathersit]],"Clear / Few Clouds","Mist / Cloudy","Light Rain / Snow","Heavy Rain / Snow")</f>
        <v>Clear / Few Clouds</v>
      </c>
    </row>
    <row r="258" spans="1:23" x14ac:dyDescent="0.3">
      <c r="A258">
        <v>257</v>
      </c>
      <c r="B258" s="1">
        <v>40800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>
        <v>0.67333299999999996</v>
      </c>
      <c r="K258">
        <v>0.62690000000000001</v>
      </c>
      <c r="L258">
        <v>0.69708300000000001</v>
      </c>
      <c r="M258">
        <v>0.1673</v>
      </c>
      <c r="N258">
        <v>647</v>
      </c>
      <c r="O258">
        <v>4138</v>
      </c>
      <c r="P258">
        <v>4785</v>
      </c>
      <c r="Q258" t="str">
        <f>IF(BikeData[[#This Row],[casual]]+BikeData[[#This Row],[registered]]=BikeData[[#This Row],[cnt]],"OK","Check")</f>
        <v>OK</v>
      </c>
      <c r="R258">
        <f>IF(BikeData[[#This Row],[yr]]=0,2011,2012)</f>
        <v>2011</v>
      </c>
      <c r="S258" t="str">
        <f>CHOOSE(BikeData[[#This Row],[season]],"Winter","Spring","Summer","Fall")</f>
        <v>Summer</v>
      </c>
      <c r="T258" t="str">
        <f>TEXT(DATE(2000,BikeData[[#This Row],[mnth]],1),"mmmm")</f>
        <v>September</v>
      </c>
      <c r="U258" t="str">
        <f>IF(BikeData[[#This Row],[workingday]]=1,"Working Day","Non-working Day")</f>
        <v>Working Day</v>
      </c>
      <c r="V258" t="str">
        <f>CHOOSE(BikeData[[#This Row],[weekday]]+1,"Sunday","Monday","Tuesday","Wednesday","Thursday","Friday","Saturday")</f>
        <v>Wednesday</v>
      </c>
      <c r="W258" t="str">
        <f>CHOOSE(BikeData[[#This Row],[weathersit]],"Clear / Few Clouds","Mist / Cloudy","Light Rain / Snow","Heavy Rain / Snow")</f>
        <v>Clear / Few Clouds</v>
      </c>
    </row>
    <row r="259" spans="1:23" x14ac:dyDescent="0.3">
      <c r="A259">
        <v>258</v>
      </c>
      <c r="B259" s="1">
        <v>40801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>
        <v>0.57750000000000001</v>
      </c>
      <c r="K259">
        <v>0.55367100000000002</v>
      </c>
      <c r="L259">
        <v>0.70916699999999999</v>
      </c>
      <c r="M259">
        <v>0.271146</v>
      </c>
      <c r="N259">
        <v>428</v>
      </c>
      <c r="O259">
        <v>3231</v>
      </c>
      <c r="P259">
        <v>3659</v>
      </c>
      <c r="Q259" t="str">
        <f>IF(BikeData[[#This Row],[casual]]+BikeData[[#This Row],[registered]]=BikeData[[#This Row],[cnt]],"OK","Check")</f>
        <v>OK</v>
      </c>
      <c r="R259">
        <f>IF(BikeData[[#This Row],[yr]]=0,2011,2012)</f>
        <v>2011</v>
      </c>
      <c r="S259" t="str">
        <f>CHOOSE(BikeData[[#This Row],[season]],"Winter","Spring","Summer","Fall")</f>
        <v>Summer</v>
      </c>
      <c r="T259" t="str">
        <f>TEXT(DATE(2000,BikeData[[#This Row],[mnth]],1),"mmmm")</f>
        <v>September</v>
      </c>
      <c r="U259" t="str">
        <f>IF(BikeData[[#This Row],[workingday]]=1,"Working Day","Non-working Day")</f>
        <v>Working Day</v>
      </c>
      <c r="V259" t="str">
        <f>CHOOSE(BikeData[[#This Row],[weekday]]+1,"Sunday","Monday","Tuesday","Wednesday","Thursday","Friday","Saturday")</f>
        <v>Thursday</v>
      </c>
      <c r="W259" t="str">
        <f>CHOOSE(BikeData[[#This Row],[weathersit]],"Clear / Few Clouds","Mist / Cloudy","Light Rain / Snow","Heavy Rain / Snow")</f>
        <v>Mist / Cloudy</v>
      </c>
    </row>
    <row r="260" spans="1:23" x14ac:dyDescent="0.3">
      <c r="A260">
        <v>259</v>
      </c>
      <c r="B260" s="1">
        <v>40802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>
        <v>0.469167</v>
      </c>
      <c r="K260">
        <v>0.46147500000000002</v>
      </c>
      <c r="L260">
        <v>0.59041699999999997</v>
      </c>
      <c r="M260">
        <v>0.164183</v>
      </c>
      <c r="N260">
        <v>742</v>
      </c>
      <c r="O260">
        <v>4018</v>
      </c>
      <c r="P260">
        <v>4760</v>
      </c>
      <c r="Q260" t="str">
        <f>IF(BikeData[[#This Row],[casual]]+BikeData[[#This Row],[registered]]=BikeData[[#This Row],[cnt]],"OK","Check")</f>
        <v>OK</v>
      </c>
      <c r="R260">
        <f>IF(BikeData[[#This Row],[yr]]=0,2011,2012)</f>
        <v>2011</v>
      </c>
      <c r="S260" t="str">
        <f>CHOOSE(BikeData[[#This Row],[season]],"Winter","Spring","Summer","Fall")</f>
        <v>Summer</v>
      </c>
      <c r="T260" t="str">
        <f>TEXT(DATE(2000,BikeData[[#This Row],[mnth]],1),"mmmm")</f>
        <v>September</v>
      </c>
      <c r="U260" t="str">
        <f>IF(BikeData[[#This Row],[workingday]]=1,"Working Day","Non-working Day")</f>
        <v>Working Day</v>
      </c>
      <c r="V260" t="str">
        <f>CHOOSE(BikeData[[#This Row],[weekday]]+1,"Sunday","Monday","Tuesday","Wednesday","Thursday","Friday","Saturday")</f>
        <v>Friday</v>
      </c>
      <c r="W260" t="str">
        <f>CHOOSE(BikeData[[#This Row],[weathersit]],"Clear / Few Clouds","Mist / Cloudy","Light Rain / Snow","Heavy Rain / Snow")</f>
        <v>Mist / Cloudy</v>
      </c>
    </row>
    <row r="261" spans="1:23" x14ac:dyDescent="0.3">
      <c r="A261">
        <v>260</v>
      </c>
      <c r="B261" s="1">
        <v>40803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>
        <v>0.49166700000000002</v>
      </c>
      <c r="K261">
        <v>0.47851199999999999</v>
      </c>
      <c r="L261">
        <v>0.718333</v>
      </c>
      <c r="M261">
        <v>0.18967500000000001</v>
      </c>
      <c r="N261">
        <v>1434</v>
      </c>
      <c r="O261">
        <v>3077</v>
      </c>
      <c r="P261">
        <v>4511</v>
      </c>
      <c r="Q261" t="str">
        <f>IF(BikeData[[#This Row],[casual]]+BikeData[[#This Row],[registered]]=BikeData[[#This Row],[cnt]],"OK","Check")</f>
        <v>OK</v>
      </c>
      <c r="R261">
        <f>IF(BikeData[[#This Row],[yr]]=0,2011,2012)</f>
        <v>2011</v>
      </c>
      <c r="S261" t="str">
        <f>CHOOSE(BikeData[[#This Row],[season]],"Winter","Spring","Summer","Fall")</f>
        <v>Summer</v>
      </c>
      <c r="T261" t="str">
        <f>TEXT(DATE(2000,BikeData[[#This Row],[mnth]],1),"mmmm")</f>
        <v>September</v>
      </c>
      <c r="U261" t="str">
        <f>IF(BikeData[[#This Row],[workingday]]=1,"Working Day","Non-working Day")</f>
        <v>Non-working Day</v>
      </c>
      <c r="V261" t="str">
        <f>CHOOSE(BikeData[[#This Row],[weekday]]+1,"Sunday","Monday","Tuesday","Wednesday","Thursday","Friday","Saturday")</f>
        <v>Saturday</v>
      </c>
      <c r="W261" t="str">
        <f>CHOOSE(BikeData[[#This Row],[weathersit]],"Clear / Few Clouds","Mist / Cloudy","Light Rain / Snow","Heavy Rain / Snow")</f>
        <v>Mist / Cloudy</v>
      </c>
    </row>
    <row r="262" spans="1:23" x14ac:dyDescent="0.3">
      <c r="A262">
        <v>261</v>
      </c>
      <c r="B262" s="1">
        <v>40804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>
        <v>0.50749999999999995</v>
      </c>
      <c r="K262">
        <v>0.490537</v>
      </c>
      <c r="L262">
        <v>0.69499999999999995</v>
      </c>
      <c r="M262">
        <v>0.178483</v>
      </c>
      <c r="N262">
        <v>1353</v>
      </c>
      <c r="O262">
        <v>2921</v>
      </c>
      <c r="P262">
        <v>4274</v>
      </c>
      <c r="Q262" t="str">
        <f>IF(BikeData[[#This Row],[casual]]+BikeData[[#This Row],[registered]]=BikeData[[#This Row],[cnt]],"OK","Check")</f>
        <v>OK</v>
      </c>
      <c r="R262">
        <f>IF(BikeData[[#This Row],[yr]]=0,2011,2012)</f>
        <v>2011</v>
      </c>
      <c r="S262" t="str">
        <f>CHOOSE(BikeData[[#This Row],[season]],"Winter","Spring","Summer","Fall")</f>
        <v>Summer</v>
      </c>
      <c r="T262" t="str">
        <f>TEXT(DATE(2000,BikeData[[#This Row],[mnth]],1),"mmmm")</f>
        <v>September</v>
      </c>
      <c r="U262" t="str">
        <f>IF(BikeData[[#This Row],[workingday]]=1,"Working Day","Non-working Day")</f>
        <v>Non-working Day</v>
      </c>
      <c r="V262" t="str">
        <f>CHOOSE(BikeData[[#This Row],[weekday]]+1,"Sunday","Monday","Tuesday","Wednesday","Thursday","Friday","Saturday")</f>
        <v>Sunday</v>
      </c>
      <c r="W262" t="str">
        <f>CHOOSE(BikeData[[#This Row],[weathersit]],"Clear / Few Clouds","Mist / Cloudy","Light Rain / Snow","Heavy Rain / Snow")</f>
        <v>Clear / Few Clouds</v>
      </c>
    </row>
    <row r="263" spans="1:23" x14ac:dyDescent="0.3">
      <c r="A263">
        <v>262</v>
      </c>
      <c r="B263" s="1">
        <v>40805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>
        <v>0.54916699999999996</v>
      </c>
      <c r="K263">
        <v>0.52967500000000001</v>
      </c>
      <c r="L263">
        <v>0.69</v>
      </c>
      <c r="M263">
        <v>0.15174199999999999</v>
      </c>
      <c r="N263">
        <v>691</v>
      </c>
      <c r="O263">
        <v>3848</v>
      </c>
      <c r="P263">
        <v>4539</v>
      </c>
      <c r="Q263" t="str">
        <f>IF(BikeData[[#This Row],[casual]]+BikeData[[#This Row],[registered]]=BikeData[[#This Row],[cnt]],"OK","Check")</f>
        <v>OK</v>
      </c>
      <c r="R263">
        <f>IF(BikeData[[#This Row],[yr]]=0,2011,2012)</f>
        <v>2011</v>
      </c>
      <c r="S263" t="str">
        <f>CHOOSE(BikeData[[#This Row],[season]],"Winter","Spring","Summer","Fall")</f>
        <v>Summer</v>
      </c>
      <c r="T263" t="str">
        <f>TEXT(DATE(2000,BikeData[[#This Row],[mnth]],1),"mmmm")</f>
        <v>September</v>
      </c>
      <c r="U263" t="str">
        <f>IF(BikeData[[#This Row],[workingday]]=1,"Working Day","Non-working Day")</f>
        <v>Working Day</v>
      </c>
      <c r="V263" t="str">
        <f>CHOOSE(BikeData[[#This Row],[weekday]]+1,"Sunday","Monday","Tuesday","Wednesday","Thursday","Friday","Saturday")</f>
        <v>Monday</v>
      </c>
      <c r="W263" t="str">
        <f>CHOOSE(BikeData[[#This Row],[weathersit]],"Clear / Few Clouds","Mist / Cloudy","Light Rain / Snow","Heavy Rain / Snow")</f>
        <v>Mist / Cloudy</v>
      </c>
    </row>
    <row r="264" spans="1:23" x14ac:dyDescent="0.3">
      <c r="A264">
        <v>263</v>
      </c>
      <c r="B264" s="1">
        <v>40806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>
        <v>0.56166700000000003</v>
      </c>
      <c r="K264">
        <v>0.53221700000000005</v>
      </c>
      <c r="L264">
        <v>0.88124999999999998</v>
      </c>
      <c r="M264">
        <v>0.13495399999999999</v>
      </c>
      <c r="N264">
        <v>438</v>
      </c>
      <c r="O264">
        <v>3203</v>
      </c>
      <c r="P264">
        <v>3641</v>
      </c>
      <c r="Q264" t="str">
        <f>IF(BikeData[[#This Row],[casual]]+BikeData[[#This Row],[registered]]=BikeData[[#This Row],[cnt]],"OK","Check")</f>
        <v>OK</v>
      </c>
      <c r="R264">
        <f>IF(BikeData[[#This Row],[yr]]=0,2011,2012)</f>
        <v>2011</v>
      </c>
      <c r="S264" t="str">
        <f>CHOOSE(BikeData[[#This Row],[season]],"Winter","Spring","Summer","Fall")</f>
        <v>Summer</v>
      </c>
      <c r="T264" t="str">
        <f>TEXT(DATE(2000,BikeData[[#This Row],[mnth]],1),"mmmm")</f>
        <v>September</v>
      </c>
      <c r="U264" t="str">
        <f>IF(BikeData[[#This Row],[workingday]]=1,"Working Day","Non-working Day")</f>
        <v>Working Day</v>
      </c>
      <c r="V264" t="str">
        <f>CHOOSE(BikeData[[#This Row],[weekday]]+1,"Sunday","Monday","Tuesday","Wednesday","Thursday","Friday","Saturday")</f>
        <v>Tuesday</v>
      </c>
      <c r="W264" t="str">
        <f>CHOOSE(BikeData[[#This Row],[weathersit]],"Clear / Few Clouds","Mist / Cloudy","Light Rain / Snow","Heavy Rain / Snow")</f>
        <v>Mist / Cloudy</v>
      </c>
    </row>
    <row r="265" spans="1:23" x14ac:dyDescent="0.3">
      <c r="A265">
        <v>264</v>
      </c>
      <c r="B265" s="1">
        <v>40807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>
        <v>0.59499999999999997</v>
      </c>
      <c r="K265">
        <v>0.55053300000000005</v>
      </c>
      <c r="L265">
        <v>0.9</v>
      </c>
      <c r="M265">
        <v>9.6404199999999995E-2</v>
      </c>
      <c r="N265">
        <v>539</v>
      </c>
      <c r="O265">
        <v>3813</v>
      </c>
      <c r="P265">
        <v>4352</v>
      </c>
      <c r="Q265" t="str">
        <f>IF(BikeData[[#This Row],[casual]]+BikeData[[#This Row],[registered]]=BikeData[[#This Row],[cnt]],"OK","Check")</f>
        <v>OK</v>
      </c>
      <c r="R265">
        <f>IF(BikeData[[#This Row],[yr]]=0,2011,2012)</f>
        <v>2011</v>
      </c>
      <c r="S265" t="str">
        <f>CHOOSE(BikeData[[#This Row],[season]],"Winter","Spring","Summer","Fall")</f>
        <v>Summer</v>
      </c>
      <c r="T265" t="str">
        <f>TEXT(DATE(2000,BikeData[[#This Row],[mnth]],1),"mmmm")</f>
        <v>September</v>
      </c>
      <c r="U265" t="str">
        <f>IF(BikeData[[#This Row],[workingday]]=1,"Working Day","Non-working Day")</f>
        <v>Working Day</v>
      </c>
      <c r="V265" t="str">
        <f>CHOOSE(BikeData[[#This Row],[weekday]]+1,"Sunday","Monday","Tuesday","Wednesday","Thursday","Friday","Saturday")</f>
        <v>Wednesday</v>
      </c>
      <c r="W265" t="str">
        <f>CHOOSE(BikeData[[#This Row],[weathersit]],"Clear / Few Clouds","Mist / Cloudy","Light Rain / Snow","Heavy Rain / Snow")</f>
        <v>Mist / Cloudy</v>
      </c>
    </row>
    <row r="266" spans="1:23" x14ac:dyDescent="0.3">
      <c r="A266">
        <v>265</v>
      </c>
      <c r="B266" s="1">
        <v>40808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>
        <v>0.62833300000000003</v>
      </c>
      <c r="K266">
        <v>0.55496299999999998</v>
      </c>
      <c r="L266">
        <v>0.90208299999999997</v>
      </c>
      <c r="M266">
        <v>0.12812499999999999</v>
      </c>
      <c r="N266">
        <v>555</v>
      </c>
      <c r="O266">
        <v>4240</v>
      </c>
      <c r="P266">
        <v>4795</v>
      </c>
      <c r="Q266" t="str">
        <f>IF(BikeData[[#This Row],[casual]]+BikeData[[#This Row],[registered]]=BikeData[[#This Row],[cnt]],"OK","Check")</f>
        <v>OK</v>
      </c>
      <c r="R266">
        <f>IF(BikeData[[#This Row],[yr]]=0,2011,2012)</f>
        <v>2011</v>
      </c>
      <c r="S266" t="str">
        <f>CHOOSE(BikeData[[#This Row],[season]],"Winter","Spring","Summer","Fall")</f>
        <v>Summer</v>
      </c>
      <c r="T266" t="str">
        <f>TEXT(DATE(2000,BikeData[[#This Row],[mnth]],1),"mmmm")</f>
        <v>September</v>
      </c>
      <c r="U266" t="str">
        <f>IF(BikeData[[#This Row],[workingday]]=1,"Working Day","Non-working Day")</f>
        <v>Working Day</v>
      </c>
      <c r="V266" t="str">
        <f>CHOOSE(BikeData[[#This Row],[weekday]]+1,"Sunday","Monday","Tuesday","Wednesday","Thursday","Friday","Saturday")</f>
        <v>Thursday</v>
      </c>
      <c r="W266" t="str">
        <f>CHOOSE(BikeData[[#This Row],[weathersit]],"Clear / Few Clouds","Mist / Cloudy","Light Rain / Snow","Heavy Rain / Snow")</f>
        <v>Mist / Cloudy</v>
      </c>
    </row>
    <row r="267" spans="1:23" x14ac:dyDescent="0.3">
      <c r="A267">
        <v>266</v>
      </c>
      <c r="B267" s="1">
        <v>40809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>
        <v>0.60916700000000001</v>
      </c>
      <c r="K267">
        <v>0.52212499999999995</v>
      </c>
      <c r="L267">
        <v>0.97250000000000003</v>
      </c>
      <c r="M267">
        <v>7.8366699999999997E-2</v>
      </c>
      <c r="N267">
        <v>258</v>
      </c>
      <c r="O267">
        <v>2137</v>
      </c>
      <c r="P267">
        <v>2395</v>
      </c>
      <c r="Q267" t="str">
        <f>IF(BikeData[[#This Row],[casual]]+BikeData[[#This Row],[registered]]=BikeData[[#This Row],[cnt]],"OK","Check")</f>
        <v>OK</v>
      </c>
      <c r="R267">
        <f>IF(BikeData[[#This Row],[yr]]=0,2011,2012)</f>
        <v>2011</v>
      </c>
      <c r="S267" t="str">
        <f>CHOOSE(BikeData[[#This Row],[season]],"Winter","Spring","Summer","Fall")</f>
        <v>Fall</v>
      </c>
      <c r="T267" t="str">
        <f>TEXT(DATE(2000,BikeData[[#This Row],[mnth]],1),"mmmm")</f>
        <v>September</v>
      </c>
      <c r="U267" t="str">
        <f>IF(BikeData[[#This Row],[workingday]]=1,"Working Day","Non-working Day")</f>
        <v>Working Day</v>
      </c>
      <c r="V267" t="str">
        <f>CHOOSE(BikeData[[#This Row],[weekday]]+1,"Sunday","Monday","Tuesday","Wednesday","Thursday","Friday","Saturday")</f>
        <v>Friday</v>
      </c>
      <c r="W267" t="str">
        <f>CHOOSE(BikeData[[#This Row],[weathersit]],"Clear / Few Clouds","Mist / Cloudy","Light Rain / Snow","Heavy Rain / Snow")</f>
        <v>Mist / Cloudy</v>
      </c>
    </row>
    <row r="268" spans="1:23" x14ac:dyDescent="0.3">
      <c r="A268">
        <v>267</v>
      </c>
      <c r="B268" s="1">
        <v>40810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>
        <v>0.60666699999999996</v>
      </c>
      <c r="K268">
        <v>0.56441200000000002</v>
      </c>
      <c r="L268">
        <v>0.86250000000000004</v>
      </c>
      <c r="M268">
        <v>7.8383300000000003E-2</v>
      </c>
      <c r="N268">
        <v>1776</v>
      </c>
      <c r="O268">
        <v>3647</v>
      </c>
      <c r="P268">
        <v>5423</v>
      </c>
      <c r="Q268" t="str">
        <f>IF(BikeData[[#This Row],[casual]]+BikeData[[#This Row],[registered]]=BikeData[[#This Row],[cnt]],"OK","Check")</f>
        <v>OK</v>
      </c>
      <c r="R268">
        <f>IF(BikeData[[#This Row],[yr]]=0,2011,2012)</f>
        <v>2011</v>
      </c>
      <c r="S268" t="str">
        <f>CHOOSE(BikeData[[#This Row],[season]],"Winter","Spring","Summer","Fall")</f>
        <v>Fall</v>
      </c>
      <c r="T268" t="str">
        <f>TEXT(DATE(2000,BikeData[[#This Row],[mnth]],1),"mmmm")</f>
        <v>September</v>
      </c>
      <c r="U268" t="str">
        <f>IF(BikeData[[#This Row],[workingday]]=1,"Working Day","Non-working Day")</f>
        <v>Non-working Day</v>
      </c>
      <c r="V268" t="str">
        <f>CHOOSE(BikeData[[#This Row],[weekday]]+1,"Sunday","Monday","Tuesday","Wednesday","Thursday","Friday","Saturday")</f>
        <v>Saturday</v>
      </c>
      <c r="W268" t="str">
        <f>CHOOSE(BikeData[[#This Row],[weathersit]],"Clear / Few Clouds","Mist / Cloudy","Light Rain / Snow","Heavy Rain / Snow")</f>
        <v>Mist / Cloudy</v>
      </c>
    </row>
    <row r="269" spans="1:23" x14ac:dyDescent="0.3">
      <c r="A269">
        <v>268</v>
      </c>
      <c r="B269" s="1">
        <v>40811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>
        <v>0.63416700000000004</v>
      </c>
      <c r="K269">
        <v>0.57263699999999995</v>
      </c>
      <c r="L269">
        <v>0.84499999999999997</v>
      </c>
      <c r="M269">
        <v>5.0379199999999999E-2</v>
      </c>
      <c r="N269">
        <v>1544</v>
      </c>
      <c r="O269">
        <v>3466</v>
      </c>
      <c r="P269">
        <v>5010</v>
      </c>
      <c r="Q269" t="str">
        <f>IF(BikeData[[#This Row],[casual]]+BikeData[[#This Row],[registered]]=BikeData[[#This Row],[cnt]],"OK","Check")</f>
        <v>OK</v>
      </c>
      <c r="R269">
        <f>IF(BikeData[[#This Row],[yr]]=0,2011,2012)</f>
        <v>2011</v>
      </c>
      <c r="S269" t="str">
        <f>CHOOSE(BikeData[[#This Row],[season]],"Winter","Spring","Summer","Fall")</f>
        <v>Fall</v>
      </c>
      <c r="T269" t="str">
        <f>TEXT(DATE(2000,BikeData[[#This Row],[mnth]],1),"mmmm")</f>
        <v>September</v>
      </c>
      <c r="U269" t="str">
        <f>IF(BikeData[[#This Row],[workingday]]=1,"Working Day","Non-working Day")</f>
        <v>Non-working Day</v>
      </c>
      <c r="V269" t="str">
        <f>CHOOSE(BikeData[[#This Row],[weekday]]+1,"Sunday","Monday","Tuesday","Wednesday","Thursday","Friday","Saturday")</f>
        <v>Sunday</v>
      </c>
      <c r="W269" t="str">
        <f>CHOOSE(BikeData[[#This Row],[weathersit]],"Clear / Few Clouds","Mist / Cloudy","Light Rain / Snow","Heavy Rain / Snow")</f>
        <v>Mist / Cloudy</v>
      </c>
    </row>
    <row r="270" spans="1:23" x14ac:dyDescent="0.3">
      <c r="A270">
        <v>269</v>
      </c>
      <c r="B270" s="1">
        <v>40812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>
        <v>0.64916700000000005</v>
      </c>
      <c r="K270">
        <v>0.58904199999999995</v>
      </c>
      <c r="L270">
        <v>0.848333</v>
      </c>
      <c r="M270">
        <v>0.11070000000000001</v>
      </c>
      <c r="N270">
        <v>684</v>
      </c>
      <c r="O270">
        <v>3946</v>
      </c>
      <c r="P270">
        <v>4630</v>
      </c>
      <c r="Q270" t="str">
        <f>IF(BikeData[[#This Row],[casual]]+BikeData[[#This Row],[registered]]=BikeData[[#This Row],[cnt]],"OK","Check")</f>
        <v>OK</v>
      </c>
      <c r="R270">
        <f>IF(BikeData[[#This Row],[yr]]=0,2011,2012)</f>
        <v>2011</v>
      </c>
      <c r="S270" t="str">
        <f>CHOOSE(BikeData[[#This Row],[season]],"Winter","Spring","Summer","Fall")</f>
        <v>Fall</v>
      </c>
      <c r="T270" t="str">
        <f>TEXT(DATE(2000,BikeData[[#This Row],[mnth]],1),"mmmm")</f>
        <v>September</v>
      </c>
      <c r="U270" t="str">
        <f>IF(BikeData[[#This Row],[workingday]]=1,"Working Day","Non-working Day")</f>
        <v>Working Day</v>
      </c>
      <c r="V270" t="str">
        <f>CHOOSE(BikeData[[#This Row],[weekday]]+1,"Sunday","Monday","Tuesday","Wednesday","Thursday","Friday","Saturday")</f>
        <v>Monday</v>
      </c>
      <c r="W270" t="str">
        <f>CHOOSE(BikeData[[#This Row],[weathersit]],"Clear / Few Clouds","Mist / Cloudy","Light Rain / Snow","Heavy Rain / Snow")</f>
        <v>Mist / Cloudy</v>
      </c>
    </row>
    <row r="271" spans="1:23" x14ac:dyDescent="0.3">
      <c r="A271">
        <v>270</v>
      </c>
      <c r="B271" s="1">
        <v>40813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>
        <v>0.63666699999999998</v>
      </c>
      <c r="K271">
        <v>0.57452499999999995</v>
      </c>
      <c r="L271">
        <v>0.88541700000000001</v>
      </c>
      <c r="M271">
        <v>0.118171</v>
      </c>
      <c r="N271">
        <v>477</v>
      </c>
      <c r="O271">
        <v>3643</v>
      </c>
      <c r="P271">
        <v>4120</v>
      </c>
      <c r="Q271" t="str">
        <f>IF(BikeData[[#This Row],[casual]]+BikeData[[#This Row],[registered]]=BikeData[[#This Row],[cnt]],"OK","Check")</f>
        <v>OK</v>
      </c>
      <c r="R271">
        <f>IF(BikeData[[#This Row],[yr]]=0,2011,2012)</f>
        <v>2011</v>
      </c>
      <c r="S271" t="str">
        <f>CHOOSE(BikeData[[#This Row],[season]],"Winter","Spring","Summer","Fall")</f>
        <v>Fall</v>
      </c>
      <c r="T271" t="str">
        <f>TEXT(DATE(2000,BikeData[[#This Row],[mnth]],1),"mmmm")</f>
        <v>September</v>
      </c>
      <c r="U271" t="str">
        <f>IF(BikeData[[#This Row],[workingday]]=1,"Working Day","Non-working Day")</f>
        <v>Working Day</v>
      </c>
      <c r="V271" t="str">
        <f>CHOOSE(BikeData[[#This Row],[weekday]]+1,"Sunday","Monday","Tuesday","Wednesday","Thursday","Friday","Saturday")</f>
        <v>Tuesday</v>
      </c>
      <c r="W271" t="str">
        <f>CHOOSE(BikeData[[#This Row],[weathersit]],"Clear / Few Clouds","Mist / Cloudy","Light Rain / Snow","Heavy Rain / Snow")</f>
        <v>Mist / Cloudy</v>
      </c>
    </row>
    <row r="272" spans="1:23" x14ac:dyDescent="0.3">
      <c r="A272">
        <v>271</v>
      </c>
      <c r="B272" s="1">
        <v>40814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>
        <v>0.63500000000000001</v>
      </c>
      <c r="K272">
        <v>0.57515799999999995</v>
      </c>
      <c r="L272">
        <v>0.84875</v>
      </c>
      <c r="M272">
        <v>0.14862900000000001</v>
      </c>
      <c r="N272">
        <v>480</v>
      </c>
      <c r="O272">
        <v>3427</v>
      </c>
      <c r="P272">
        <v>3907</v>
      </c>
      <c r="Q272" t="str">
        <f>IF(BikeData[[#This Row],[casual]]+BikeData[[#This Row],[registered]]=BikeData[[#This Row],[cnt]],"OK","Check")</f>
        <v>OK</v>
      </c>
      <c r="R272">
        <f>IF(BikeData[[#This Row],[yr]]=0,2011,2012)</f>
        <v>2011</v>
      </c>
      <c r="S272" t="str">
        <f>CHOOSE(BikeData[[#This Row],[season]],"Winter","Spring","Summer","Fall")</f>
        <v>Fall</v>
      </c>
      <c r="T272" t="str">
        <f>TEXT(DATE(2000,BikeData[[#This Row],[mnth]],1),"mmmm")</f>
        <v>September</v>
      </c>
      <c r="U272" t="str">
        <f>IF(BikeData[[#This Row],[workingday]]=1,"Working Day","Non-working Day")</f>
        <v>Working Day</v>
      </c>
      <c r="V272" t="str">
        <f>CHOOSE(BikeData[[#This Row],[weekday]]+1,"Sunday","Monday","Tuesday","Wednesday","Thursday","Friday","Saturday")</f>
        <v>Wednesday</v>
      </c>
      <c r="W272" t="str">
        <f>CHOOSE(BikeData[[#This Row],[weathersit]],"Clear / Few Clouds","Mist / Cloudy","Light Rain / Snow","Heavy Rain / Snow")</f>
        <v>Mist / Cloudy</v>
      </c>
    </row>
    <row r="273" spans="1:23" x14ac:dyDescent="0.3">
      <c r="A273">
        <v>272</v>
      </c>
      <c r="B273" s="1">
        <v>40815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>
        <v>0.61666699999999997</v>
      </c>
      <c r="K273">
        <v>0.57451200000000002</v>
      </c>
      <c r="L273">
        <v>0.69916699999999998</v>
      </c>
      <c r="M273">
        <v>0.17288300000000001</v>
      </c>
      <c r="N273">
        <v>653</v>
      </c>
      <c r="O273">
        <v>4186</v>
      </c>
      <c r="P273">
        <v>4839</v>
      </c>
      <c r="Q273" t="str">
        <f>IF(BikeData[[#This Row],[casual]]+BikeData[[#This Row],[registered]]=BikeData[[#This Row],[cnt]],"OK","Check")</f>
        <v>OK</v>
      </c>
      <c r="R273">
        <f>IF(BikeData[[#This Row],[yr]]=0,2011,2012)</f>
        <v>2011</v>
      </c>
      <c r="S273" t="str">
        <f>CHOOSE(BikeData[[#This Row],[season]],"Winter","Spring","Summer","Fall")</f>
        <v>Fall</v>
      </c>
      <c r="T273" t="str">
        <f>TEXT(DATE(2000,BikeData[[#This Row],[mnth]],1),"mmmm")</f>
        <v>September</v>
      </c>
      <c r="U273" t="str">
        <f>IF(BikeData[[#This Row],[workingday]]=1,"Working Day","Non-working Day")</f>
        <v>Working Day</v>
      </c>
      <c r="V273" t="str">
        <f>CHOOSE(BikeData[[#This Row],[weekday]]+1,"Sunday","Monday","Tuesday","Wednesday","Thursday","Friday","Saturday")</f>
        <v>Thursday</v>
      </c>
      <c r="W273" t="str">
        <f>CHOOSE(BikeData[[#This Row],[weathersit]],"Clear / Few Clouds","Mist / Cloudy","Light Rain / Snow","Heavy Rain / Snow")</f>
        <v>Clear / Few Clouds</v>
      </c>
    </row>
    <row r="274" spans="1:23" x14ac:dyDescent="0.3">
      <c r="A274">
        <v>273</v>
      </c>
      <c r="B274" s="1">
        <v>40816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>
        <v>0.56416699999999997</v>
      </c>
      <c r="K274">
        <v>0.54482900000000001</v>
      </c>
      <c r="L274">
        <v>0.64749999999999996</v>
      </c>
      <c r="M274">
        <v>0.20647499999999999</v>
      </c>
      <c r="N274">
        <v>830</v>
      </c>
      <c r="O274">
        <v>4372</v>
      </c>
      <c r="P274">
        <v>5202</v>
      </c>
      <c r="Q274" t="str">
        <f>IF(BikeData[[#This Row],[casual]]+BikeData[[#This Row],[registered]]=BikeData[[#This Row],[cnt]],"OK","Check")</f>
        <v>OK</v>
      </c>
      <c r="R274">
        <f>IF(BikeData[[#This Row],[yr]]=0,2011,2012)</f>
        <v>2011</v>
      </c>
      <c r="S274" t="str">
        <f>CHOOSE(BikeData[[#This Row],[season]],"Winter","Spring","Summer","Fall")</f>
        <v>Fall</v>
      </c>
      <c r="T274" t="str">
        <f>TEXT(DATE(2000,BikeData[[#This Row],[mnth]],1),"mmmm")</f>
        <v>September</v>
      </c>
      <c r="U274" t="str">
        <f>IF(BikeData[[#This Row],[workingday]]=1,"Working Day","Non-working Day")</f>
        <v>Working Day</v>
      </c>
      <c r="V274" t="str">
        <f>CHOOSE(BikeData[[#This Row],[weekday]]+1,"Sunday","Monday","Tuesday","Wednesday","Thursday","Friday","Saturday")</f>
        <v>Friday</v>
      </c>
      <c r="W274" t="str">
        <f>CHOOSE(BikeData[[#This Row],[weathersit]],"Clear / Few Clouds","Mist / Cloudy","Light Rain / Snow","Heavy Rain / Snow")</f>
        <v>Clear / Few Clouds</v>
      </c>
    </row>
    <row r="275" spans="1:23" x14ac:dyDescent="0.3">
      <c r="A275">
        <v>274</v>
      </c>
      <c r="B275" s="1">
        <v>40817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>
        <v>0.41</v>
      </c>
      <c r="K275">
        <v>0.41286299999999998</v>
      </c>
      <c r="L275">
        <v>0.75375000000000003</v>
      </c>
      <c r="M275">
        <v>0.292296</v>
      </c>
      <c r="N275">
        <v>480</v>
      </c>
      <c r="O275">
        <v>1949</v>
      </c>
      <c r="P275">
        <v>2429</v>
      </c>
      <c r="Q275" t="str">
        <f>IF(BikeData[[#This Row],[casual]]+BikeData[[#This Row],[registered]]=BikeData[[#This Row],[cnt]],"OK","Check")</f>
        <v>OK</v>
      </c>
      <c r="R275">
        <f>IF(BikeData[[#This Row],[yr]]=0,2011,2012)</f>
        <v>2011</v>
      </c>
      <c r="S275" t="str">
        <f>CHOOSE(BikeData[[#This Row],[season]],"Winter","Spring","Summer","Fall")</f>
        <v>Fall</v>
      </c>
      <c r="T275" t="str">
        <f>TEXT(DATE(2000,BikeData[[#This Row],[mnth]],1),"mmmm")</f>
        <v>October</v>
      </c>
      <c r="U275" t="str">
        <f>IF(BikeData[[#This Row],[workingday]]=1,"Working Day","Non-working Day")</f>
        <v>Non-working Day</v>
      </c>
      <c r="V275" t="str">
        <f>CHOOSE(BikeData[[#This Row],[weekday]]+1,"Sunday","Monday","Tuesday","Wednesday","Thursday","Friday","Saturday")</f>
        <v>Saturday</v>
      </c>
      <c r="W275" t="str">
        <f>CHOOSE(BikeData[[#This Row],[weathersit]],"Clear / Few Clouds","Mist / Cloudy","Light Rain / Snow","Heavy Rain / Snow")</f>
        <v>Mist / Cloudy</v>
      </c>
    </row>
    <row r="276" spans="1:23" x14ac:dyDescent="0.3">
      <c r="A276">
        <v>275</v>
      </c>
      <c r="B276" s="1">
        <v>40818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>
        <v>0.35666700000000001</v>
      </c>
      <c r="K276">
        <v>0.34531699999999999</v>
      </c>
      <c r="L276">
        <v>0.79166700000000001</v>
      </c>
      <c r="M276">
        <v>0.22201299999999999</v>
      </c>
      <c r="N276">
        <v>616</v>
      </c>
      <c r="O276">
        <v>2302</v>
      </c>
      <c r="P276">
        <v>2918</v>
      </c>
      <c r="Q276" t="str">
        <f>IF(BikeData[[#This Row],[casual]]+BikeData[[#This Row],[registered]]=BikeData[[#This Row],[cnt]],"OK","Check")</f>
        <v>OK</v>
      </c>
      <c r="R276">
        <f>IF(BikeData[[#This Row],[yr]]=0,2011,2012)</f>
        <v>2011</v>
      </c>
      <c r="S276" t="str">
        <f>CHOOSE(BikeData[[#This Row],[season]],"Winter","Spring","Summer","Fall")</f>
        <v>Fall</v>
      </c>
      <c r="T276" t="str">
        <f>TEXT(DATE(2000,BikeData[[#This Row],[mnth]],1),"mmmm")</f>
        <v>October</v>
      </c>
      <c r="U276" t="str">
        <f>IF(BikeData[[#This Row],[workingday]]=1,"Working Day","Non-working Day")</f>
        <v>Non-working Day</v>
      </c>
      <c r="V276" t="str">
        <f>CHOOSE(BikeData[[#This Row],[weekday]]+1,"Sunday","Monday","Tuesday","Wednesday","Thursday","Friday","Saturday")</f>
        <v>Sunday</v>
      </c>
      <c r="W276" t="str">
        <f>CHOOSE(BikeData[[#This Row],[weathersit]],"Clear / Few Clouds","Mist / Cloudy","Light Rain / Snow","Heavy Rain / Snow")</f>
        <v>Mist / Cloudy</v>
      </c>
    </row>
    <row r="277" spans="1:23" x14ac:dyDescent="0.3">
      <c r="A277">
        <v>276</v>
      </c>
      <c r="B277" s="1">
        <v>40819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>
        <v>0.38416699999999998</v>
      </c>
      <c r="K277">
        <v>0.39204600000000001</v>
      </c>
      <c r="L277">
        <v>0.76083299999999998</v>
      </c>
      <c r="M277">
        <v>8.3345799999999998E-2</v>
      </c>
      <c r="N277">
        <v>330</v>
      </c>
      <c r="O277">
        <v>3240</v>
      </c>
      <c r="P277">
        <v>3570</v>
      </c>
      <c r="Q277" t="str">
        <f>IF(BikeData[[#This Row],[casual]]+BikeData[[#This Row],[registered]]=BikeData[[#This Row],[cnt]],"OK","Check")</f>
        <v>OK</v>
      </c>
      <c r="R277">
        <f>IF(BikeData[[#This Row],[yr]]=0,2011,2012)</f>
        <v>2011</v>
      </c>
      <c r="S277" t="str">
        <f>CHOOSE(BikeData[[#This Row],[season]],"Winter","Spring","Summer","Fall")</f>
        <v>Fall</v>
      </c>
      <c r="T277" t="str">
        <f>TEXT(DATE(2000,BikeData[[#This Row],[mnth]],1),"mmmm")</f>
        <v>October</v>
      </c>
      <c r="U277" t="str">
        <f>IF(BikeData[[#This Row],[workingday]]=1,"Working Day","Non-working Day")</f>
        <v>Working Day</v>
      </c>
      <c r="V277" t="str">
        <f>CHOOSE(BikeData[[#This Row],[weekday]]+1,"Sunday","Monday","Tuesday","Wednesday","Thursday","Friday","Saturday")</f>
        <v>Monday</v>
      </c>
      <c r="W277" t="str">
        <f>CHOOSE(BikeData[[#This Row],[weathersit]],"Clear / Few Clouds","Mist / Cloudy","Light Rain / Snow","Heavy Rain / Snow")</f>
        <v>Mist / Cloudy</v>
      </c>
    </row>
    <row r="278" spans="1:23" x14ac:dyDescent="0.3">
      <c r="A278">
        <v>277</v>
      </c>
      <c r="B278" s="1">
        <v>40820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>
        <v>0.48416700000000001</v>
      </c>
      <c r="K278">
        <v>0.472858</v>
      </c>
      <c r="L278">
        <v>0.71</v>
      </c>
      <c r="M278">
        <v>0.20585400000000001</v>
      </c>
      <c r="N278">
        <v>486</v>
      </c>
      <c r="O278">
        <v>3970</v>
      </c>
      <c r="P278">
        <v>4456</v>
      </c>
      <c r="Q278" t="str">
        <f>IF(BikeData[[#This Row],[casual]]+BikeData[[#This Row],[registered]]=BikeData[[#This Row],[cnt]],"OK","Check")</f>
        <v>OK</v>
      </c>
      <c r="R278">
        <f>IF(BikeData[[#This Row],[yr]]=0,2011,2012)</f>
        <v>2011</v>
      </c>
      <c r="S278" t="str">
        <f>CHOOSE(BikeData[[#This Row],[season]],"Winter","Spring","Summer","Fall")</f>
        <v>Fall</v>
      </c>
      <c r="T278" t="str">
        <f>TEXT(DATE(2000,BikeData[[#This Row],[mnth]],1),"mmmm")</f>
        <v>October</v>
      </c>
      <c r="U278" t="str">
        <f>IF(BikeData[[#This Row],[workingday]]=1,"Working Day","Non-working Day")</f>
        <v>Working Day</v>
      </c>
      <c r="V278" t="str">
        <f>CHOOSE(BikeData[[#This Row],[weekday]]+1,"Sunday","Monday","Tuesday","Wednesday","Thursday","Friday","Saturday")</f>
        <v>Tuesday</v>
      </c>
      <c r="W278" t="str">
        <f>CHOOSE(BikeData[[#This Row],[weathersit]],"Clear / Few Clouds","Mist / Cloudy","Light Rain / Snow","Heavy Rain / Snow")</f>
        <v>Clear / Few Clouds</v>
      </c>
    </row>
    <row r="279" spans="1:23" x14ac:dyDescent="0.3">
      <c r="A279">
        <v>278</v>
      </c>
      <c r="B279" s="1">
        <v>40821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>
        <v>0.53833299999999995</v>
      </c>
      <c r="K279">
        <v>0.527138</v>
      </c>
      <c r="L279">
        <v>0.64791699999999997</v>
      </c>
      <c r="M279">
        <v>0.17724999999999999</v>
      </c>
      <c r="N279">
        <v>559</v>
      </c>
      <c r="O279">
        <v>4267</v>
      </c>
      <c r="P279">
        <v>4826</v>
      </c>
      <c r="Q279" t="str">
        <f>IF(BikeData[[#This Row],[casual]]+BikeData[[#This Row],[registered]]=BikeData[[#This Row],[cnt]],"OK","Check")</f>
        <v>OK</v>
      </c>
      <c r="R279">
        <f>IF(BikeData[[#This Row],[yr]]=0,2011,2012)</f>
        <v>2011</v>
      </c>
      <c r="S279" t="str">
        <f>CHOOSE(BikeData[[#This Row],[season]],"Winter","Spring","Summer","Fall")</f>
        <v>Fall</v>
      </c>
      <c r="T279" t="str">
        <f>TEXT(DATE(2000,BikeData[[#This Row],[mnth]],1),"mmmm")</f>
        <v>October</v>
      </c>
      <c r="U279" t="str">
        <f>IF(BikeData[[#This Row],[workingday]]=1,"Working Day","Non-working Day")</f>
        <v>Working Day</v>
      </c>
      <c r="V279" t="str">
        <f>CHOOSE(BikeData[[#This Row],[weekday]]+1,"Sunday","Monday","Tuesday","Wednesday","Thursday","Friday","Saturday")</f>
        <v>Wednesday</v>
      </c>
      <c r="W279" t="str">
        <f>CHOOSE(BikeData[[#This Row],[weathersit]],"Clear / Few Clouds","Mist / Cloudy","Light Rain / Snow","Heavy Rain / Snow")</f>
        <v>Clear / Few Clouds</v>
      </c>
    </row>
    <row r="280" spans="1:23" x14ac:dyDescent="0.3">
      <c r="A280">
        <v>279</v>
      </c>
      <c r="B280" s="1">
        <v>40822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>
        <v>0.49416700000000002</v>
      </c>
      <c r="K280">
        <v>0.48042499999999999</v>
      </c>
      <c r="L280">
        <v>0.62083299999999997</v>
      </c>
      <c r="M280">
        <v>0.13495399999999999</v>
      </c>
      <c r="N280">
        <v>639</v>
      </c>
      <c r="O280">
        <v>4126</v>
      </c>
      <c r="P280">
        <v>4765</v>
      </c>
      <c r="Q280" t="str">
        <f>IF(BikeData[[#This Row],[casual]]+BikeData[[#This Row],[registered]]=BikeData[[#This Row],[cnt]],"OK","Check")</f>
        <v>OK</v>
      </c>
      <c r="R280">
        <f>IF(BikeData[[#This Row],[yr]]=0,2011,2012)</f>
        <v>2011</v>
      </c>
      <c r="S280" t="str">
        <f>CHOOSE(BikeData[[#This Row],[season]],"Winter","Spring","Summer","Fall")</f>
        <v>Fall</v>
      </c>
      <c r="T280" t="str">
        <f>TEXT(DATE(2000,BikeData[[#This Row],[mnth]],1),"mmmm")</f>
        <v>October</v>
      </c>
      <c r="U280" t="str">
        <f>IF(BikeData[[#This Row],[workingday]]=1,"Working Day","Non-working Day")</f>
        <v>Working Day</v>
      </c>
      <c r="V280" t="str">
        <f>CHOOSE(BikeData[[#This Row],[weekday]]+1,"Sunday","Monday","Tuesday","Wednesday","Thursday","Friday","Saturday")</f>
        <v>Thursday</v>
      </c>
      <c r="W280" t="str">
        <f>CHOOSE(BikeData[[#This Row],[weathersit]],"Clear / Few Clouds","Mist / Cloudy","Light Rain / Snow","Heavy Rain / Snow")</f>
        <v>Clear / Few Clouds</v>
      </c>
    </row>
    <row r="281" spans="1:23" x14ac:dyDescent="0.3">
      <c r="A281">
        <v>280</v>
      </c>
      <c r="B281" s="1">
        <v>40823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>
        <v>0.51083299999999998</v>
      </c>
      <c r="K281">
        <v>0.50440399999999996</v>
      </c>
      <c r="L281">
        <v>0.68416699999999997</v>
      </c>
      <c r="M281">
        <v>2.23917E-2</v>
      </c>
      <c r="N281">
        <v>949</v>
      </c>
      <c r="O281">
        <v>4036</v>
      </c>
      <c r="P281">
        <v>4985</v>
      </c>
      <c r="Q281" t="str">
        <f>IF(BikeData[[#This Row],[casual]]+BikeData[[#This Row],[registered]]=BikeData[[#This Row],[cnt]],"OK","Check")</f>
        <v>OK</v>
      </c>
      <c r="R281">
        <f>IF(BikeData[[#This Row],[yr]]=0,2011,2012)</f>
        <v>2011</v>
      </c>
      <c r="S281" t="str">
        <f>CHOOSE(BikeData[[#This Row],[season]],"Winter","Spring","Summer","Fall")</f>
        <v>Fall</v>
      </c>
      <c r="T281" t="str">
        <f>TEXT(DATE(2000,BikeData[[#This Row],[mnth]],1),"mmmm")</f>
        <v>October</v>
      </c>
      <c r="U281" t="str">
        <f>IF(BikeData[[#This Row],[workingday]]=1,"Working Day","Non-working Day")</f>
        <v>Working Day</v>
      </c>
      <c r="V281" t="str">
        <f>CHOOSE(BikeData[[#This Row],[weekday]]+1,"Sunday","Monday","Tuesday","Wednesday","Thursday","Friday","Saturday")</f>
        <v>Friday</v>
      </c>
      <c r="W281" t="str">
        <f>CHOOSE(BikeData[[#This Row],[weathersit]],"Clear / Few Clouds","Mist / Cloudy","Light Rain / Snow","Heavy Rain / Snow")</f>
        <v>Clear / Few Clouds</v>
      </c>
    </row>
    <row r="282" spans="1:23" x14ac:dyDescent="0.3">
      <c r="A282">
        <v>281</v>
      </c>
      <c r="B282" s="1">
        <v>40824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>
        <v>0.52166699999999999</v>
      </c>
      <c r="K282">
        <v>0.51324199999999998</v>
      </c>
      <c r="L282">
        <v>0.70125000000000004</v>
      </c>
      <c r="M282">
        <v>4.5404199999999999E-2</v>
      </c>
      <c r="N282">
        <v>2235</v>
      </c>
      <c r="O282">
        <v>3174</v>
      </c>
      <c r="P282">
        <v>5409</v>
      </c>
      <c r="Q282" t="str">
        <f>IF(BikeData[[#This Row],[casual]]+BikeData[[#This Row],[registered]]=BikeData[[#This Row],[cnt]],"OK","Check")</f>
        <v>OK</v>
      </c>
      <c r="R282">
        <f>IF(BikeData[[#This Row],[yr]]=0,2011,2012)</f>
        <v>2011</v>
      </c>
      <c r="S282" t="str">
        <f>CHOOSE(BikeData[[#This Row],[season]],"Winter","Spring","Summer","Fall")</f>
        <v>Fall</v>
      </c>
      <c r="T282" t="str">
        <f>TEXT(DATE(2000,BikeData[[#This Row],[mnth]],1),"mmmm")</f>
        <v>October</v>
      </c>
      <c r="U282" t="str">
        <f>IF(BikeData[[#This Row],[workingday]]=1,"Working Day","Non-working Day")</f>
        <v>Non-working Day</v>
      </c>
      <c r="V282" t="str">
        <f>CHOOSE(BikeData[[#This Row],[weekday]]+1,"Sunday","Monday","Tuesday","Wednesday","Thursday","Friday","Saturday")</f>
        <v>Saturday</v>
      </c>
      <c r="W282" t="str">
        <f>CHOOSE(BikeData[[#This Row],[weathersit]],"Clear / Few Clouds","Mist / Cloudy","Light Rain / Snow","Heavy Rain / Snow")</f>
        <v>Clear / Few Clouds</v>
      </c>
    </row>
    <row r="283" spans="1:23" x14ac:dyDescent="0.3">
      <c r="A283">
        <v>282</v>
      </c>
      <c r="B283" s="1">
        <v>40825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>
        <v>0.54083300000000001</v>
      </c>
      <c r="K283">
        <v>0.52398299999999998</v>
      </c>
      <c r="L283">
        <v>0.72750000000000004</v>
      </c>
      <c r="M283">
        <v>6.3450000000000006E-2</v>
      </c>
      <c r="N283">
        <v>2397</v>
      </c>
      <c r="O283">
        <v>3114</v>
      </c>
      <c r="P283">
        <v>5511</v>
      </c>
      <c r="Q283" t="str">
        <f>IF(BikeData[[#This Row],[casual]]+BikeData[[#This Row],[registered]]=BikeData[[#This Row],[cnt]],"OK","Check")</f>
        <v>OK</v>
      </c>
      <c r="R283">
        <f>IF(BikeData[[#This Row],[yr]]=0,2011,2012)</f>
        <v>2011</v>
      </c>
      <c r="S283" t="str">
        <f>CHOOSE(BikeData[[#This Row],[season]],"Winter","Spring","Summer","Fall")</f>
        <v>Fall</v>
      </c>
      <c r="T283" t="str">
        <f>TEXT(DATE(2000,BikeData[[#This Row],[mnth]],1),"mmmm")</f>
        <v>October</v>
      </c>
      <c r="U283" t="str">
        <f>IF(BikeData[[#This Row],[workingday]]=1,"Working Day","Non-working Day")</f>
        <v>Non-working Day</v>
      </c>
      <c r="V283" t="str">
        <f>CHOOSE(BikeData[[#This Row],[weekday]]+1,"Sunday","Monday","Tuesday","Wednesday","Thursday","Friday","Saturday")</f>
        <v>Sunday</v>
      </c>
      <c r="W283" t="str">
        <f>CHOOSE(BikeData[[#This Row],[weathersit]],"Clear / Few Clouds","Mist / Cloudy","Light Rain / Snow","Heavy Rain / Snow")</f>
        <v>Clear / Few Clouds</v>
      </c>
    </row>
    <row r="284" spans="1:23" x14ac:dyDescent="0.3">
      <c r="A284">
        <v>283</v>
      </c>
      <c r="B284" s="1">
        <v>40826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>
        <v>0.57083300000000003</v>
      </c>
      <c r="K284">
        <v>0.54292499999999999</v>
      </c>
      <c r="L284">
        <v>0.73375000000000001</v>
      </c>
      <c r="M284">
        <v>4.23042E-2</v>
      </c>
      <c r="N284">
        <v>1514</v>
      </c>
      <c r="O284">
        <v>3603</v>
      </c>
      <c r="P284">
        <v>5117</v>
      </c>
      <c r="Q284" t="str">
        <f>IF(BikeData[[#This Row],[casual]]+BikeData[[#This Row],[registered]]=BikeData[[#This Row],[cnt]],"OK","Check")</f>
        <v>OK</v>
      </c>
      <c r="R284">
        <f>IF(BikeData[[#This Row],[yr]]=0,2011,2012)</f>
        <v>2011</v>
      </c>
      <c r="S284" t="str">
        <f>CHOOSE(BikeData[[#This Row],[season]],"Winter","Spring","Summer","Fall")</f>
        <v>Fall</v>
      </c>
      <c r="T284" t="str">
        <f>TEXT(DATE(2000,BikeData[[#This Row],[mnth]],1),"mmmm")</f>
        <v>October</v>
      </c>
      <c r="U284" t="str">
        <f>IF(BikeData[[#This Row],[workingday]]=1,"Working Day","Non-working Day")</f>
        <v>Non-working Day</v>
      </c>
      <c r="V284" t="str">
        <f>CHOOSE(BikeData[[#This Row],[weekday]]+1,"Sunday","Monday","Tuesday","Wednesday","Thursday","Friday","Saturday")</f>
        <v>Monday</v>
      </c>
      <c r="W284" t="str">
        <f>CHOOSE(BikeData[[#This Row],[weathersit]],"Clear / Few Clouds","Mist / Cloudy","Light Rain / Snow","Heavy Rain / Snow")</f>
        <v>Clear / Few Clouds</v>
      </c>
    </row>
    <row r="285" spans="1:23" x14ac:dyDescent="0.3">
      <c r="A285">
        <v>284</v>
      </c>
      <c r="B285" s="1">
        <v>40827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>
        <v>0.56666700000000003</v>
      </c>
      <c r="K285">
        <v>0.54609600000000003</v>
      </c>
      <c r="L285">
        <v>0.80874999999999997</v>
      </c>
      <c r="M285">
        <v>0.143042</v>
      </c>
      <c r="N285">
        <v>667</v>
      </c>
      <c r="O285">
        <v>3896</v>
      </c>
      <c r="P285">
        <v>4563</v>
      </c>
      <c r="Q285" t="str">
        <f>IF(BikeData[[#This Row],[casual]]+BikeData[[#This Row],[registered]]=BikeData[[#This Row],[cnt]],"OK","Check")</f>
        <v>OK</v>
      </c>
      <c r="R285">
        <f>IF(BikeData[[#This Row],[yr]]=0,2011,2012)</f>
        <v>2011</v>
      </c>
      <c r="S285" t="str">
        <f>CHOOSE(BikeData[[#This Row],[season]],"Winter","Spring","Summer","Fall")</f>
        <v>Fall</v>
      </c>
      <c r="T285" t="str">
        <f>TEXT(DATE(2000,BikeData[[#This Row],[mnth]],1),"mmmm")</f>
        <v>October</v>
      </c>
      <c r="U285" t="str">
        <f>IF(BikeData[[#This Row],[workingday]]=1,"Working Day","Non-working Day")</f>
        <v>Working Day</v>
      </c>
      <c r="V285" t="str">
        <f>CHOOSE(BikeData[[#This Row],[weekday]]+1,"Sunday","Monday","Tuesday","Wednesday","Thursday","Friday","Saturday")</f>
        <v>Tuesday</v>
      </c>
      <c r="W285" t="str">
        <f>CHOOSE(BikeData[[#This Row],[weathersit]],"Clear / Few Clouds","Mist / Cloudy","Light Rain / Snow","Heavy Rain / Snow")</f>
        <v>Mist / Cloudy</v>
      </c>
    </row>
    <row r="286" spans="1:23" x14ac:dyDescent="0.3">
      <c r="A286">
        <v>285</v>
      </c>
      <c r="B286" s="1">
        <v>40828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>
        <v>0.54333299999999995</v>
      </c>
      <c r="K286">
        <v>0.51771699999999998</v>
      </c>
      <c r="L286">
        <v>0.90625</v>
      </c>
      <c r="M286">
        <v>0.24815000000000001</v>
      </c>
      <c r="N286">
        <v>217</v>
      </c>
      <c r="O286">
        <v>2199</v>
      </c>
      <c r="P286">
        <v>2416</v>
      </c>
      <c r="Q286" t="str">
        <f>IF(BikeData[[#This Row],[casual]]+BikeData[[#This Row],[registered]]=BikeData[[#This Row],[cnt]],"OK","Check")</f>
        <v>OK</v>
      </c>
      <c r="R286">
        <f>IF(BikeData[[#This Row],[yr]]=0,2011,2012)</f>
        <v>2011</v>
      </c>
      <c r="S286" t="str">
        <f>CHOOSE(BikeData[[#This Row],[season]],"Winter","Spring","Summer","Fall")</f>
        <v>Fall</v>
      </c>
      <c r="T286" t="str">
        <f>TEXT(DATE(2000,BikeData[[#This Row],[mnth]],1),"mmmm")</f>
        <v>October</v>
      </c>
      <c r="U286" t="str">
        <f>IF(BikeData[[#This Row],[workingday]]=1,"Working Day","Non-working Day")</f>
        <v>Working Day</v>
      </c>
      <c r="V286" t="str">
        <f>CHOOSE(BikeData[[#This Row],[weekday]]+1,"Sunday","Monday","Tuesday","Wednesday","Thursday","Friday","Saturday")</f>
        <v>Wednesday</v>
      </c>
      <c r="W286" t="str">
        <f>CHOOSE(BikeData[[#This Row],[weathersit]],"Clear / Few Clouds","Mist / Cloudy","Light Rain / Snow","Heavy Rain / Snow")</f>
        <v>Light Rain / Snow</v>
      </c>
    </row>
    <row r="287" spans="1:23" x14ac:dyDescent="0.3">
      <c r="A287">
        <v>286</v>
      </c>
      <c r="B287" s="1">
        <v>40829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>
        <v>0.589167</v>
      </c>
      <c r="K287">
        <v>0.55180399999999996</v>
      </c>
      <c r="L287">
        <v>0.89666699999999999</v>
      </c>
      <c r="M287">
        <v>0.141787</v>
      </c>
      <c r="N287">
        <v>290</v>
      </c>
      <c r="O287">
        <v>2623</v>
      </c>
      <c r="P287">
        <v>2913</v>
      </c>
      <c r="Q287" t="str">
        <f>IF(BikeData[[#This Row],[casual]]+BikeData[[#This Row],[registered]]=BikeData[[#This Row],[cnt]],"OK","Check")</f>
        <v>OK</v>
      </c>
      <c r="R287">
        <f>IF(BikeData[[#This Row],[yr]]=0,2011,2012)</f>
        <v>2011</v>
      </c>
      <c r="S287" t="str">
        <f>CHOOSE(BikeData[[#This Row],[season]],"Winter","Spring","Summer","Fall")</f>
        <v>Fall</v>
      </c>
      <c r="T287" t="str">
        <f>TEXT(DATE(2000,BikeData[[#This Row],[mnth]],1),"mmmm")</f>
        <v>October</v>
      </c>
      <c r="U287" t="str">
        <f>IF(BikeData[[#This Row],[workingday]]=1,"Working Day","Non-working Day")</f>
        <v>Working Day</v>
      </c>
      <c r="V287" t="str">
        <f>CHOOSE(BikeData[[#This Row],[weekday]]+1,"Sunday","Monday","Tuesday","Wednesday","Thursday","Friday","Saturday")</f>
        <v>Thursday</v>
      </c>
      <c r="W287" t="str">
        <f>CHOOSE(BikeData[[#This Row],[weathersit]],"Clear / Few Clouds","Mist / Cloudy","Light Rain / Snow","Heavy Rain / Snow")</f>
        <v>Mist / Cloudy</v>
      </c>
    </row>
    <row r="288" spans="1:23" x14ac:dyDescent="0.3">
      <c r="A288">
        <v>287</v>
      </c>
      <c r="B288" s="1">
        <v>40830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>
        <v>0.55083300000000002</v>
      </c>
      <c r="K288">
        <v>0.52967500000000001</v>
      </c>
      <c r="L288">
        <v>0.71625000000000005</v>
      </c>
      <c r="M288">
        <v>0.223883</v>
      </c>
      <c r="N288">
        <v>529</v>
      </c>
      <c r="O288">
        <v>3115</v>
      </c>
      <c r="P288">
        <v>3644</v>
      </c>
      <c r="Q288" t="str">
        <f>IF(BikeData[[#This Row],[casual]]+BikeData[[#This Row],[registered]]=BikeData[[#This Row],[cnt]],"OK","Check")</f>
        <v>OK</v>
      </c>
      <c r="R288">
        <f>IF(BikeData[[#This Row],[yr]]=0,2011,2012)</f>
        <v>2011</v>
      </c>
      <c r="S288" t="str">
        <f>CHOOSE(BikeData[[#This Row],[season]],"Winter","Spring","Summer","Fall")</f>
        <v>Fall</v>
      </c>
      <c r="T288" t="str">
        <f>TEXT(DATE(2000,BikeData[[#This Row],[mnth]],1),"mmmm")</f>
        <v>October</v>
      </c>
      <c r="U288" t="str">
        <f>IF(BikeData[[#This Row],[workingday]]=1,"Working Day","Non-working Day")</f>
        <v>Working Day</v>
      </c>
      <c r="V288" t="str">
        <f>CHOOSE(BikeData[[#This Row],[weekday]]+1,"Sunday","Monday","Tuesday","Wednesday","Thursday","Friday","Saturday")</f>
        <v>Friday</v>
      </c>
      <c r="W288" t="str">
        <f>CHOOSE(BikeData[[#This Row],[weathersit]],"Clear / Few Clouds","Mist / Cloudy","Light Rain / Snow","Heavy Rain / Snow")</f>
        <v>Mist / Cloudy</v>
      </c>
    </row>
    <row r="289" spans="1:23" x14ac:dyDescent="0.3">
      <c r="A289">
        <v>288</v>
      </c>
      <c r="B289" s="1">
        <v>40831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>
        <v>0.50666699999999998</v>
      </c>
      <c r="K289">
        <v>0.49872499999999997</v>
      </c>
      <c r="L289">
        <v>0.48333300000000001</v>
      </c>
      <c r="M289">
        <v>0.25808300000000001</v>
      </c>
      <c r="N289">
        <v>1899</v>
      </c>
      <c r="O289">
        <v>3318</v>
      </c>
      <c r="P289">
        <v>5217</v>
      </c>
      <c r="Q289" t="str">
        <f>IF(BikeData[[#This Row],[casual]]+BikeData[[#This Row],[registered]]=BikeData[[#This Row],[cnt]],"OK","Check")</f>
        <v>OK</v>
      </c>
      <c r="R289">
        <f>IF(BikeData[[#This Row],[yr]]=0,2011,2012)</f>
        <v>2011</v>
      </c>
      <c r="S289" t="str">
        <f>CHOOSE(BikeData[[#This Row],[season]],"Winter","Spring","Summer","Fall")</f>
        <v>Fall</v>
      </c>
      <c r="T289" t="str">
        <f>TEXT(DATE(2000,BikeData[[#This Row],[mnth]],1),"mmmm")</f>
        <v>October</v>
      </c>
      <c r="U289" t="str">
        <f>IF(BikeData[[#This Row],[workingday]]=1,"Working Day","Non-working Day")</f>
        <v>Non-working Day</v>
      </c>
      <c r="V289" t="str">
        <f>CHOOSE(BikeData[[#This Row],[weekday]]+1,"Sunday","Monday","Tuesday","Wednesday","Thursday","Friday","Saturday")</f>
        <v>Saturday</v>
      </c>
      <c r="W289" t="str">
        <f>CHOOSE(BikeData[[#This Row],[weathersit]],"Clear / Few Clouds","Mist / Cloudy","Light Rain / Snow","Heavy Rain / Snow")</f>
        <v>Clear / Few Clouds</v>
      </c>
    </row>
    <row r="290" spans="1:23" x14ac:dyDescent="0.3">
      <c r="A290">
        <v>289</v>
      </c>
      <c r="B290" s="1">
        <v>40832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>
        <v>0.51166699999999998</v>
      </c>
      <c r="K290">
        <v>0.50315399999999999</v>
      </c>
      <c r="L290">
        <v>0.48666700000000002</v>
      </c>
      <c r="M290">
        <v>0.281717</v>
      </c>
      <c r="N290">
        <v>1748</v>
      </c>
      <c r="O290">
        <v>3293</v>
      </c>
      <c r="P290">
        <v>5041</v>
      </c>
      <c r="Q290" t="str">
        <f>IF(BikeData[[#This Row],[casual]]+BikeData[[#This Row],[registered]]=BikeData[[#This Row],[cnt]],"OK","Check")</f>
        <v>OK</v>
      </c>
      <c r="R290">
        <f>IF(BikeData[[#This Row],[yr]]=0,2011,2012)</f>
        <v>2011</v>
      </c>
      <c r="S290" t="str">
        <f>CHOOSE(BikeData[[#This Row],[season]],"Winter","Spring","Summer","Fall")</f>
        <v>Fall</v>
      </c>
      <c r="T290" t="str">
        <f>TEXT(DATE(2000,BikeData[[#This Row],[mnth]],1),"mmmm")</f>
        <v>October</v>
      </c>
      <c r="U290" t="str">
        <f>IF(BikeData[[#This Row],[workingday]]=1,"Working Day","Non-working Day")</f>
        <v>Non-working Day</v>
      </c>
      <c r="V290" t="str">
        <f>CHOOSE(BikeData[[#This Row],[weekday]]+1,"Sunday","Monday","Tuesday","Wednesday","Thursday","Friday","Saturday")</f>
        <v>Sunday</v>
      </c>
      <c r="W290" t="str">
        <f>CHOOSE(BikeData[[#This Row],[weathersit]],"Clear / Few Clouds","Mist / Cloudy","Light Rain / Snow","Heavy Rain / Snow")</f>
        <v>Clear / Few Clouds</v>
      </c>
    </row>
    <row r="291" spans="1:23" x14ac:dyDescent="0.3">
      <c r="A291">
        <v>290</v>
      </c>
      <c r="B291" s="1">
        <v>40833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>
        <v>0.53416699999999995</v>
      </c>
      <c r="K291">
        <v>0.51072499999999998</v>
      </c>
      <c r="L291">
        <v>0.57958299999999996</v>
      </c>
      <c r="M291">
        <v>0.17537900000000001</v>
      </c>
      <c r="N291">
        <v>713</v>
      </c>
      <c r="O291">
        <v>3857</v>
      </c>
      <c r="P291">
        <v>4570</v>
      </c>
      <c r="Q291" t="str">
        <f>IF(BikeData[[#This Row],[casual]]+BikeData[[#This Row],[registered]]=BikeData[[#This Row],[cnt]],"OK","Check")</f>
        <v>OK</v>
      </c>
      <c r="R291">
        <f>IF(BikeData[[#This Row],[yr]]=0,2011,2012)</f>
        <v>2011</v>
      </c>
      <c r="S291" t="str">
        <f>CHOOSE(BikeData[[#This Row],[season]],"Winter","Spring","Summer","Fall")</f>
        <v>Fall</v>
      </c>
      <c r="T291" t="str">
        <f>TEXT(DATE(2000,BikeData[[#This Row],[mnth]],1),"mmmm")</f>
        <v>October</v>
      </c>
      <c r="U291" t="str">
        <f>IF(BikeData[[#This Row],[workingday]]=1,"Working Day","Non-working Day")</f>
        <v>Working Day</v>
      </c>
      <c r="V291" t="str">
        <f>CHOOSE(BikeData[[#This Row],[weekday]]+1,"Sunday","Monday","Tuesday","Wednesday","Thursday","Friday","Saturday")</f>
        <v>Monday</v>
      </c>
      <c r="W291" t="str">
        <f>CHOOSE(BikeData[[#This Row],[weathersit]],"Clear / Few Clouds","Mist / Cloudy","Light Rain / Snow","Heavy Rain / Snow")</f>
        <v>Clear / Few Clouds</v>
      </c>
    </row>
    <row r="292" spans="1:23" x14ac:dyDescent="0.3">
      <c r="A292">
        <v>291</v>
      </c>
      <c r="B292" s="1">
        <v>40834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>
        <v>0.53249999999999997</v>
      </c>
      <c r="K292">
        <v>0.52272099999999999</v>
      </c>
      <c r="L292">
        <v>0.70166700000000004</v>
      </c>
      <c r="M292">
        <v>0.110087</v>
      </c>
      <c r="N292">
        <v>637</v>
      </c>
      <c r="O292">
        <v>4111</v>
      </c>
      <c r="P292">
        <v>4748</v>
      </c>
      <c r="Q292" t="str">
        <f>IF(BikeData[[#This Row],[casual]]+BikeData[[#This Row],[registered]]=BikeData[[#This Row],[cnt]],"OK","Check")</f>
        <v>OK</v>
      </c>
      <c r="R292">
        <f>IF(BikeData[[#This Row],[yr]]=0,2011,2012)</f>
        <v>2011</v>
      </c>
      <c r="S292" t="str">
        <f>CHOOSE(BikeData[[#This Row],[season]],"Winter","Spring","Summer","Fall")</f>
        <v>Fall</v>
      </c>
      <c r="T292" t="str">
        <f>TEXT(DATE(2000,BikeData[[#This Row],[mnth]],1),"mmmm")</f>
        <v>October</v>
      </c>
      <c r="U292" t="str">
        <f>IF(BikeData[[#This Row],[workingday]]=1,"Working Day","Non-working Day")</f>
        <v>Working Day</v>
      </c>
      <c r="V292" t="str">
        <f>CHOOSE(BikeData[[#This Row],[weekday]]+1,"Sunday","Monday","Tuesday","Wednesday","Thursday","Friday","Saturday")</f>
        <v>Tuesday</v>
      </c>
      <c r="W292" t="str">
        <f>CHOOSE(BikeData[[#This Row],[weathersit]],"Clear / Few Clouds","Mist / Cloudy","Light Rain / Snow","Heavy Rain / Snow")</f>
        <v>Mist / Cloudy</v>
      </c>
    </row>
    <row r="293" spans="1:23" x14ac:dyDescent="0.3">
      <c r="A293">
        <v>292</v>
      </c>
      <c r="B293" s="1">
        <v>40835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>
        <v>0.54173899999999997</v>
      </c>
      <c r="K293">
        <v>0.51384799999999997</v>
      </c>
      <c r="L293">
        <v>0.89521700000000004</v>
      </c>
      <c r="M293">
        <v>0.243339</v>
      </c>
      <c r="N293">
        <v>254</v>
      </c>
      <c r="O293">
        <v>2170</v>
      </c>
      <c r="P293">
        <v>2424</v>
      </c>
      <c r="Q293" t="str">
        <f>IF(BikeData[[#This Row],[casual]]+BikeData[[#This Row],[registered]]=BikeData[[#This Row],[cnt]],"OK","Check")</f>
        <v>OK</v>
      </c>
      <c r="R293">
        <f>IF(BikeData[[#This Row],[yr]]=0,2011,2012)</f>
        <v>2011</v>
      </c>
      <c r="S293" t="str">
        <f>CHOOSE(BikeData[[#This Row],[season]],"Winter","Spring","Summer","Fall")</f>
        <v>Fall</v>
      </c>
      <c r="T293" t="str">
        <f>TEXT(DATE(2000,BikeData[[#This Row],[mnth]],1),"mmmm")</f>
        <v>October</v>
      </c>
      <c r="U293" t="str">
        <f>IF(BikeData[[#This Row],[workingday]]=1,"Working Day","Non-working Day")</f>
        <v>Working Day</v>
      </c>
      <c r="V293" t="str">
        <f>CHOOSE(BikeData[[#This Row],[weekday]]+1,"Sunday","Monday","Tuesday","Wednesday","Thursday","Friday","Saturday")</f>
        <v>Wednesday</v>
      </c>
      <c r="W293" t="str">
        <f>CHOOSE(BikeData[[#This Row],[weathersit]],"Clear / Few Clouds","Mist / Cloudy","Light Rain / Snow","Heavy Rain / Snow")</f>
        <v>Light Rain / Snow</v>
      </c>
    </row>
    <row r="294" spans="1:23" x14ac:dyDescent="0.3">
      <c r="A294">
        <v>293</v>
      </c>
      <c r="B294" s="1">
        <v>40836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>
        <v>0.47583300000000001</v>
      </c>
      <c r="K294">
        <v>0.46652500000000002</v>
      </c>
      <c r="L294">
        <v>0.63624999999999998</v>
      </c>
      <c r="M294">
        <v>0.42227500000000001</v>
      </c>
      <c r="N294">
        <v>471</v>
      </c>
      <c r="O294">
        <v>3724</v>
      </c>
      <c r="P294">
        <v>4195</v>
      </c>
      <c r="Q294" t="str">
        <f>IF(BikeData[[#This Row],[casual]]+BikeData[[#This Row],[registered]]=BikeData[[#This Row],[cnt]],"OK","Check")</f>
        <v>OK</v>
      </c>
      <c r="R294">
        <f>IF(BikeData[[#This Row],[yr]]=0,2011,2012)</f>
        <v>2011</v>
      </c>
      <c r="S294" t="str">
        <f>CHOOSE(BikeData[[#This Row],[season]],"Winter","Spring","Summer","Fall")</f>
        <v>Fall</v>
      </c>
      <c r="T294" t="str">
        <f>TEXT(DATE(2000,BikeData[[#This Row],[mnth]],1),"mmmm")</f>
        <v>October</v>
      </c>
      <c r="U294" t="str">
        <f>IF(BikeData[[#This Row],[workingday]]=1,"Working Day","Non-working Day")</f>
        <v>Working Day</v>
      </c>
      <c r="V294" t="str">
        <f>CHOOSE(BikeData[[#This Row],[weekday]]+1,"Sunday","Monday","Tuesday","Wednesday","Thursday","Friday","Saturday")</f>
        <v>Thursday</v>
      </c>
      <c r="W294" t="str">
        <f>CHOOSE(BikeData[[#This Row],[weathersit]],"Clear / Few Clouds","Mist / Cloudy","Light Rain / Snow","Heavy Rain / Snow")</f>
        <v>Clear / Few Clouds</v>
      </c>
    </row>
    <row r="295" spans="1:23" x14ac:dyDescent="0.3">
      <c r="A295">
        <v>294</v>
      </c>
      <c r="B295" s="1">
        <v>40837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>
        <v>0.42749999999999999</v>
      </c>
      <c r="K295">
        <v>0.42359599999999997</v>
      </c>
      <c r="L295">
        <v>0.57416699999999998</v>
      </c>
      <c r="M295">
        <v>0.22139600000000001</v>
      </c>
      <c r="N295">
        <v>676</v>
      </c>
      <c r="O295">
        <v>3628</v>
      </c>
      <c r="P295">
        <v>4304</v>
      </c>
      <c r="Q295" t="str">
        <f>IF(BikeData[[#This Row],[casual]]+BikeData[[#This Row],[registered]]=BikeData[[#This Row],[cnt]],"OK","Check")</f>
        <v>OK</v>
      </c>
      <c r="R295">
        <f>IF(BikeData[[#This Row],[yr]]=0,2011,2012)</f>
        <v>2011</v>
      </c>
      <c r="S295" t="str">
        <f>CHOOSE(BikeData[[#This Row],[season]],"Winter","Spring","Summer","Fall")</f>
        <v>Fall</v>
      </c>
      <c r="T295" t="str">
        <f>TEXT(DATE(2000,BikeData[[#This Row],[mnth]],1),"mmmm")</f>
        <v>October</v>
      </c>
      <c r="U295" t="str">
        <f>IF(BikeData[[#This Row],[workingday]]=1,"Working Day","Non-working Day")</f>
        <v>Working Day</v>
      </c>
      <c r="V295" t="str">
        <f>CHOOSE(BikeData[[#This Row],[weekday]]+1,"Sunday","Monday","Tuesday","Wednesday","Thursday","Friday","Saturday")</f>
        <v>Friday</v>
      </c>
      <c r="W295" t="str">
        <f>CHOOSE(BikeData[[#This Row],[weathersit]],"Clear / Few Clouds","Mist / Cloudy","Light Rain / Snow","Heavy Rain / Snow")</f>
        <v>Clear / Few Clouds</v>
      </c>
    </row>
    <row r="296" spans="1:23" x14ac:dyDescent="0.3">
      <c r="A296">
        <v>295</v>
      </c>
      <c r="B296" s="1">
        <v>40838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>
        <v>0.42249999999999999</v>
      </c>
      <c r="K296">
        <v>0.42549199999999998</v>
      </c>
      <c r="L296">
        <v>0.62916700000000003</v>
      </c>
      <c r="M296">
        <v>9.2666700000000005E-2</v>
      </c>
      <c r="N296">
        <v>1499</v>
      </c>
      <c r="O296">
        <v>2809</v>
      </c>
      <c r="P296">
        <v>4308</v>
      </c>
      <c r="Q296" t="str">
        <f>IF(BikeData[[#This Row],[casual]]+BikeData[[#This Row],[registered]]=BikeData[[#This Row],[cnt]],"OK","Check")</f>
        <v>OK</v>
      </c>
      <c r="R296">
        <f>IF(BikeData[[#This Row],[yr]]=0,2011,2012)</f>
        <v>2011</v>
      </c>
      <c r="S296" t="str">
        <f>CHOOSE(BikeData[[#This Row],[season]],"Winter","Spring","Summer","Fall")</f>
        <v>Fall</v>
      </c>
      <c r="T296" t="str">
        <f>TEXT(DATE(2000,BikeData[[#This Row],[mnth]],1),"mmmm")</f>
        <v>October</v>
      </c>
      <c r="U296" t="str">
        <f>IF(BikeData[[#This Row],[workingday]]=1,"Working Day","Non-working Day")</f>
        <v>Non-working Day</v>
      </c>
      <c r="V296" t="str">
        <f>CHOOSE(BikeData[[#This Row],[weekday]]+1,"Sunday","Monday","Tuesday","Wednesday","Thursday","Friday","Saturday")</f>
        <v>Saturday</v>
      </c>
      <c r="W296" t="str">
        <f>CHOOSE(BikeData[[#This Row],[weathersit]],"Clear / Few Clouds","Mist / Cloudy","Light Rain / Snow","Heavy Rain / Snow")</f>
        <v>Clear / Few Clouds</v>
      </c>
    </row>
    <row r="297" spans="1:23" x14ac:dyDescent="0.3">
      <c r="A297">
        <v>296</v>
      </c>
      <c r="B297" s="1">
        <v>40839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>
        <v>0.42166700000000001</v>
      </c>
      <c r="K297">
        <v>0.42233300000000001</v>
      </c>
      <c r="L297">
        <v>0.74124999999999996</v>
      </c>
      <c r="M297">
        <v>9.9512500000000004E-2</v>
      </c>
      <c r="N297">
        <v>1619</v>
      </c>
      <c r="O297">
        <v>2762</v>
      </c>
      <c r="P297">
        <v>4381</v>
      </c>
      <c r="Q297" t="str">
        <f>IF(BikeData[[#This Row],[casual]]+BikeData[[#This Row],[registered]]=BikeData[[#This Row],[cnt]],"OK","Check")</f>
        <v>OK</v>
      </c>
      <c r="R297">
        <f>IF(BikeData[[#This Row],[yr]]=0,2011,2012)</f>
        <v>2011</v>
      </c>
      <c r="S297" t="str">
        <f>CHOOSE(BikeData[[#This Row],[season]],"Winter","Spring","Summer","Fall")</f>
        <v>Fall</v>
      </c>
      <c r="T297" t="str">
        <f>TEXT(DATE(2000,BikeData[[#This Row],[mnth]],1),"mmmm")</f>
        <v>October</v>
      </c>
      <c r="U297" t="str">
        <f>IF(BikeData[[#This Row],[workingday]]=1,"Working Day","Non-working Day")</f>
        <v>Non-working Day</v>
      </c>
      <c r="V297" t="str">
        <f>CHOOSE(BikeData[[#This Row],[weekday]]+1,"Sunday","Monday","Tuesday","Wednesday","Thursday","Friday","Saturday")</f>
        <v>Sunday</v>
      </c>
      <c r="W297" t="str">
        <f>CHOOSE(BikeData[[#This Row],[weathersit]],"Clear / Few Clouds","Mist / Cloudy","Light Rain / Snow","Heavy Rain / Snow")</f>
        <v>Clear / Few Clouds</v>
      </c>
    </row>
    <row r="298" spans="1:23" x14ac:dyDescent="0.3">
      <c r="A298">
        <v>297</v>
      </c>
      <c r="B298" s="1">
        <v>40840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>
        <v>0.46333299999999999</v>
      </c>
      <c r="K298">
        <v>0.457067</v>
      </c>
      <c r="L298">
        <v>0.77208299999999996</v>
      </c>
      <c r="M298">
        <v>0.11879199999999999</v>
      </c>
      <c r="N298">
        <v>699</v>
      </c>
      <c r="O298">
        <v>3488</v>
      </c>
      <c r="P298">
        <v>4187</v>
      </c>
      <c r="Q298" t="str">
        <f>IF(BikeData[[#This Row],[casual]]+BikeData[[#This Row],[registered]]=BikeData[[#This Row],[cnt]],"OK","Check")</f>
        <v>OK</v>
      </c>
      <c r="R298">
        <f>IF(BikeData[[#This Row],[yr]]=0,2011,2012)</f>
        <v>2011</v>
      </c>
      <c r="S298" t="str">
        <f>CHOOSE(BikeData[[#This Row],[season]],"Winter","Spring","Summer","Fall")</f>
        <v>Fall</v>
      </c>
      <c r="T298" t="str">
        <f>TEXT(DATE(2000,BikeData[[#This Row],[mnth]],1),"mmmm")</f>
        <v>October</v>
      </c>
      <c r="U298" t="str">
        <f>IF(BikeData[[#This Row],[workingday]]=1,"Working Day","Non-working Day")</f>
        <v>Working Day</v>
      </c>
      <c r="V298" t="str">
        <f>CHOOSE(BikeData[[#This Row],[weekday]]+1,"Sunday","Monday","Tuesday","Wednesday","Thursday","Friday","Saturday")</f>
        <v>Monday</v>
      </c>
      <c r="W298" t="str">
        <f>CHOOSE(BikeData[[#This Row],[weathersit]],"Clear / Few Clouds","Mist / Cloudy","Light Rain / Snow","Heavy Rain / Snow")</f>
        <v>Clear / Few Clouds</v>
      </c>
    </row>
    <row r="299" spans="1:23" x14ac:dyDescent="0.3">
      <c r="A299">
        <v>298</v>
      </c>
      <c r="B299" s="1">
        <v>40841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>
        <v>0.471667</v>
      </c>
      <c r="K299">
        <v>0.46337499999999998</v>
      </c>
      <c r="L299">
        <v>0.62291700000000005</v>
      </c>
      <c r="M299">
        <v>0.166658</v>
      </c>
      <c r="N299">
        <v>695</v>
      </c>
      <c r="O299">
        <v>3992</v>
      </c>
      <c r="P299">
        <v>4687</v>
      </c>
      <c r="Q299" t="str">
        <f>IF(BikeData[[#This Row],[casual]]+BikeData[[#This Row],[registered]]=BikeData[[#This Row],[cnt]],"OK","Check")</f>
        <v>OK</v>
      </c>
      <c r="R299">
        <f>IF(BikeData[[#This Row],[yr]]=0,2011,2012)</f>
        <v>2011</v>
      </c>
      <c r="S299" t="str">
        <f>CHOOSE(BikeData[[#This Row],[season]],"Winter","Spring","Summer","Fall")</f>
        <v>Fall</v>
      </c>
      <c r="T299" t="str">
        <f>TEXT(DATE(2000,BikeData[[#This Row],[mnth]],1),"mmmm")</f>
        <v>October</v>
      </c>
      <c r="U299" t="str">
        <f>IF(BikeData[[#This Row],[workingday]]=1,"Working Day","Non-working Day")</f>
        <v>Working Day</v>
      </c>
      <c r="V299" t="str">
        <f>CHOOSE(BikeData[[#This Row],[weekday]]+1,"Sunday","Monday","Tuesday","Wednesday","Thursday","Friday","Saturday")</f>
        <v>Tuesday</v>
      </c>
      <c r="W299" t="str">
        <f>CHOOSE(BikeData[[#This Row],[weathersit]],"Clear / Few Clouds","Mist / Cloudy","Light Rain / Snow","Heavy Rain / Snow")</f>
        <v>Clear / Few Clouds</v>
      </c>
    </row>
    <row r="300" spans="1:23" x14ac:dyDescent="0.3">
      <c r="A300">
        <v>299</v>
      </c>
      <c r="B300" s="1">
        <v>40842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>
        <v>0.48416700000000001</v>
      </c>
      <c r="K300">
        <v>0.47284599999999999</v>
      </c>
      <c r="L300">
        <v>0.72041699999999997</v>
      </c>
      <c r="M300">
        <v>0.148642</v>
      </c>
      <c r="N300">
        <v>404</v>
      </c>
      <c r="O300">
        <v>3490</v>
      </c>
      <c r="P300">
        <v>3894</v>
      </c>
      <c r="Q300" t="str">
        <f>IF(BikeData[[#This Row],[casual]]+BikeData[[#This Row],[registered]]=BikeData[[#This Row],[cnt]],"OK","Check")</f>
        <v>OK</v>
      </c>
      <c r="R300">
        <f>IF(BikeData[[#This Row],[yr]]=0,2011,2012)</f>
        <v>2011</v>
      </c>
      <c r="S300" t="str">
        <f>CHOOSE(BikeData[[#This Row],[season]],"Winter","Spring","Summer","Fall")</f>
        <v>Fall</v>
      </c>
      <c r="T300" t="str">
        <f>TEXT(DATE(2000,BikeData[[#This Row],[mnth]],1),"mmmm")</f>
        <v>October</v>
      </c>
      <c r="U300" t="str">
        <f>IF(BikeData[[#This Row],[workingday]]=1,"Working Day","Non-working Day")</f>
        <v>Working Day</v>
      </c>
      <c r="V300" t="str">
        <f>CHOOSE(BikeData[[#This Row],[weekday]]+1,"Sunday","Monday","Tuesday","Wednesday","Thursday","Friday","Saturday")</f>
        <v>Wednesday</v>
      </c>
      <c r="W300" t="str">
        <f>CHOOSE(BikeData[[#This Row],[weathersit]],"Clear / Few Clouds","Mist / Cloudy","Light Rain / Snow","Heavy Rain / Snow")</f>
        <v>Mist / Cloudy</v>
      </c>
    </row>
    <row r="301" spans="1:23" x14ac:dyDescent="0.3">
      <c r="A301">
        <v>300</v>
      </c>
      <c r="B301" s="1">
        <v>40843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>
        <v>0.47</v>
      </c>
      <c r="K301">
        <v>0.45704600000000001</v>
      </c>
      <c r="L301">
        <v>0.812917</v>
      </c>
      <c r="M301">
        <v>0.19776299999999999</v>
      </c>
      <c r="N301">
        <v>240</v>
      </c>
      <c r="O301">
        <v>2419</v>
      </c>
      <c r="P301">
        <v>2659</v>
      </c>
      <c r="Q301" t="str">
        <f>IF(BikeData[[#This Row],[casual]]+BikeData[[#This Row],[registered]]=BikeData[[#This Row],[cnt]],"OK","Check")</f>
        <v>OK</v>
      </c>
      <c r="R301">
        <f>IF(BikeData[[#This Row],[yr]]=0,2011,2012)</f>
        <v>2011</v>
      </c>
      <c r="S301" t="str">
        <f>CHOOSE(BikeData[[#This Row],[season]],"Winter","Spring","Summer","Fall")</f>
        <v>Fall</v>
      </c>
      <c r="T301" t="str">
        <f>TEXT(DATE(2000,BikeData[[#This Row],[mnth]],1),"mmmm")</f>
        <v>October</v>
      </c>
      <c r="U301" t="str">
        <f>IF(BikeData[[#This Row],[workingday]]=1,"Working Day","Non-working Day")</f>
        <v>Working Day</v>
      </c>
      <c r="V301" t="str">
        <f>CHOOSE(BikeData[[#This Row],[weekday]]+1,"Sunday","Monday","Tuesday","Wednesday","Thursday","Friday","Saturday")</f>
        <v>Thursday</v>
      </c>
      <c r="W301" t="str">
        <f>CHOOSE(BikeData[[#This Row],[weathersit]],"Clear / Few Clouds","Mist / Cloudy","Light Rain / Snow","Heavy Rain / Snow")</f>
        <v>Mist / Cloudy</v>
      </c>
    </row>
    <row r="302" spans="1:23" x14ac:dyDescent="0.3">
      <c r="A302">
        <v>301</v>
      </c>
      <c r="B302" s="1">
        <v>40844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>
        <v>0.33083299999999999</v>
      </c>
      <c r="K302">
        <v>0.31881199999999998</v>
      </c>
      <c r="L302">
        <v>0.58583300000000005</v>
      </c>
      <c r="M302">
        <v>0.22947899999999999</v>
      </c>
      <c r="N302">
        <v>456</v>
      </c>
      <c r="O302">
        <v>3291</v>
      </c>
      <c r="P302">
        <v>3747</v>
      </c>
      <c r="Q302" t="str">
        <f>IF(BikeData[[#This Row],[casual]]+BikeData[[#This Row],[registered]]=BikeData[[#This Row],[cnt]],"OK","Check")</f>
        <v>OK</v>
      </c>
      <c r="R302">
        <f>IF(BikeData[[#This Row],[yr]]=0,2011,2012)</f>
        <v>2011</v>
      </c>
      <c r="S302" t="str">
        <f>CHOOSE(BikeData[[#This Row],[season]],"Winter","Spring","Summer","Fall")</f>
        <v>Fall</v>
      </c>
      <c r="T302" t="str">
        <f>TEXT(DATE(2000,BikeData[[#This Row],[mnth]],1),"mmmm")</f>
        <v>October</v>
      </c>
      <c r="U302" t="str">
        <f>IF(BikeData[[#This Row],[workingday]]=1,"Working Day","Non-working Day")</f>
        <v>Working Day</v>
      </c>
      <c r="V302" t="str">
        <f>CHOOSE(BikeData[[#This Row],[weekday]]+1,"Sunday","Monday","Tuesday","Wednesday","Thursday","Friday","Saturday")</f>
        <v>Friday</v>
      </c>
      <c r="W302" t="str">
        <f>CHOOSE(BikeData[[#This Row],[weathersit]],"Clear / Few Clouds","Mist / Cloudy","Light Rain / Snow","Heavy Rain / Snow")</f>
        <v>Mist / Cloudy</v>
      </c>
    </row>
    <row r="303" spans="1:23" x14ac:dyDescent="0.3">
      <c r="A303">
        <v>302</v>
      </c>
      <c r="B303" s="1">
        <v>40845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>
        <v>0.25416699999999998</v>
      </c>
      <c r="K303">
        <v>0.227913</v>
      </c>
      <c r="L303">
        <v>0.88249999999999995</v>
      </c>
      <c r="M303">
        <v>0.35137099999999999</v>
      </c>
      <c r="N303">
        <v>57</v>
      </c>
      <c r="O303">
        <v>570</v>
      </c>
      <c r="P303">
        <v>627</v>
      </c>
      <c r="Q303" t="str">
        <f>IF(BikeData[[#This Row],[casual]]+BikeData[[#This Row],[registered]]=BikeData[[#This Row],[cnt]],"OK","Check")</f>
        <v>OK</v>
      </c>
      <c r="R303">
        <f>IF(BikeData[[#This Row],[yr]]=0,2011,2012)</f>
        <v>2011</v>
      </c>
      <c r="S303" t="str">
        <f>CHOOSE(BikeData[[#This Row],[season]],"Winter","Spring","Summer","Fall")</f>
        <v>Fall</v>
      </c>
      <c r="T303" t="str">
        <f>TEXT(DATE(2000,BikeData[[#This Row],[mnth]],1),"mmmm")</f>
        <v>October</v>
      </c>
      <c r="U303" t="str">
        <f>IF(BikeData[[#This Row],[workingday]]=1,"Working Day","Non-working Day")</f>
        <v>Non-working Day</v>
      </c>
      <c r="V303" t="str">
        <f>CHOOSE(BikeData[[#This Row],[weekday]]+1,"Sunday","Monday","Tuesday","Wednesday","Thursday","Friday","Saturday")</f>
        <v>Saturday</v>
      </c>
      <c r="W303" t="str">
        <f>CHOOSE(BikeData[[#This Row],[weathersit]],"Clear / Few Clouds","Mist / Cloudy","Light Rain / Snow","Heavy Rain / Snow")</f>
        <v>Light Rain / Snow</v>
      </c>
    </row>
    <row r="304" spans="1:23" x14ac:dyDescent="0.3">
      <c r="A304">
        <v>303</v>
      </c>
      <c r="B304" s="1">
        <v>40846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>
        <v>0.31916699999999998</v>
      </c>
      <c r="K304">
        <v>0.32132899999999998</v>
      </c>
      <c r="L304">
        <v>0.62375000000000003</v>
      </c>
      <c r="M304">
        <v>0.176617</v>
      </c>
      <c r="N304">
        <v>885</v>
      </c>
      <c r="O304">
        <v>2446</v>
      </c>
      <c r="P304">
        <v>3331</v>
      </c>
      <c r="Q304" t="str">
        <f>IF(BikeData[[#This Row],[casual]]+BikeData[[#This Row],[registered]]=BikeData[[#This Row],[cnt]],"OK","Check")</f>
        <v>OK</v>
      </c>
      <c r="R304">
        <f>IF(BikeData[[#This Row],[yr]]=0,2011,2012)</f>
        <v>2011</v>
      </c>
      <c r="S304" t="str">
        <f>CHOOSE(BikeData[[#This Row],[season]],"Winter","Spring","Summer","Fall")</f>
        <v>Fall</v>
      </c>
      <c r="T304" t="str">
        <f>TEXT(DATE(2000,BikeData[[#This Row],[mnth]],1),"mmmm")</f>
        <v>October</v>
      </c>
      <c r="U304" t="str">
        <f>IF(BikeData[[#This Row],[workingday]]=1,"Working Day","Non-working Day")</f>
        <v>Non-working Day</v>
      </c>
      <c r="V304" t="str">
        <f>CHOOSE(BikeData[[#This Row],[weekday]]+1,"Sunday","Monday","Tuesday","Wednesday","Thursday","Friday","Saturday")</f>
        <v>Sunday</v>
      </c>
      <c r="W304" t="str">
        <f>CHOOSE(BikeData[[#This Row],[weathersit]],"Clear / Few Clouds","Mist / Cloudy","Light Rain / Snow","Heavy Rain / Snow")</f>
        <v>Clear / Few Clouds</v>
      </c>
    </row>
    <row r="305" spans="1:23" x14ac:dyDescent="0.3">
      <c r="A305">
        <v>304</v>
      </c>
      <c r="B305" s="1">
        <v>40847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>
        <v>0.34</v>
      </c>
      <c r="K305">
        <v>0.35606300000000002</v>
      </c>
      <c r="L305">
        <v>0.70333299999999999</v>
      </c>
      <c r="M305">
        <v>0.10635</v>
      </c>
      <c r="N305">
        <v>362</v>
      </c>
      <c r="O305">
        <v>3307</v>
      </c>
      <c r="P305">
        <v>3669</v>
      </c>
      <c r="Q305" t="str">
        <f>IF(BikeData[[#This Row],[casual]]+BikeData[[#This Row],[registered]]=BikeData[[#This Row],[cnt]],"OK","Check")</f>
        <v>OK</v>
      </c>
      <c r="R305">
        <f>IF(BikeData[[#This Row],[yr]]=0,2011,2012)</f>
        <v>2011</v>
      </c>
      <c r="S305" t="str">
        <f>CHOOSE(BikeData[[#This Row],[season]],"Winter","Spring","Summer","Fall")</f>
        <v>Fall</v>
      </c>
      <c r="T305" t="str">
        <f>TEXT(DATE(2000,BikeData[[#This Row],[mnth]],1),"mmmm")</f>
        <v>October</v>
      </c>
      <c r="U305" t="str">
        <f>IF(BikeData[[#This Row],[workingday]]=1,"Working Day","Non-working Day")</f>
        <v>Working Day</v>
      </c>
      <c r="V305" t="str">
        <f>CHOOSE(BikeData[[#This Row],[weekday]]+1,"Sunday","Monday","Tuesday","Wednesday","Thursday","Friday","Saturday")</f>
        <v>Monday</v>
      </c>
      <c r="W305" t="str">
        <f>CHOOSE(BikeData[[#This Row],[weathersit]],"Clear / Few Clouds","Mist / Cloudy","Light Rain / Snow","Heavy Rain / Snow")</f>
        <v>Clear / Few Clouds</v>
      </c>
    </row>
    <row r="306" spans="1:23" x14ac:dyDescent="0.3">
      <c r="A306">
        <v>305</v>
      </c>
      <c r="B306" s="1">
        <v>40848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>
        <v>0.40083299999999999</v>
      </c>
      <c r="K306">
        <v>0.397088</v>
      </c>
      <c r="L306">
        <v>0.68374999999999997</v>
      </c>
      <c r="M306">
        <v>0.135571</v>
      </c>
      <c r="N306">
        <v>410</v>
      </c>
      <c r="O306">
        <v>3658</v>
      </c>
      <c r="P306">
        <v>4068</v>
      </c>
      <c r="Q306" t="str">
        <f>IF(BikeData[[#This Row],[casual]]+BikeData[[#This Row],[registered]]=BikeData[[#This Row],[cnt]],"OK","Check")</f>
        <v>OK</v>
      </c>
      <c r="R306">
        <f>IF(BikeData[[#This Row],[yr]]=0,2011,2012)</f>
        <v>2011</v>
      </c>
      <c r="S306" t="str">
        <f>CHOOSE(BikeData[[#This Row],[season]],"Winter","Spring","Summer","Fall")</f>
        <v>Fall</v>
      </c>
      <c r="T306" t="str">
        <f>TEXT(DATE(2000,BikeData[[#This Row],[mnth]],1),"mmmm")</f>
        <v>November</v>
      </c>
      <c r="U306" t="str">
        <f>IF(BikeData[[#This Row],[workingday]]=1,"Working Day","Non-working Day")</f>
        <v>Working Day</v>
      </c>
      <c r="V306" t="str">
        <f>CHOOSE(BikeData[[#This Row],[weekday]]+1,"Sunday","Monday","Tuesday","Wednesday","Thursday","Friday","Saturday")</f>
        <v>Tuesday</v>
      </c>
      <c r="W306" t="str">
        <f>CHOOSE(BikeData[[#This Row],[weathersit]],"Clear / Few Clouds","Mist / Cloudy","Light Rain / Snow","Heavy Rain / Snow")</f>
        <v>Clear / Few Clouds</v>
      </c>
    </row>
    <row r="307" spans="1:23" x14ac:dyDescent="0.3">
      <c r="A307">
        <v>306</v>
      </c>
      <c r="B307" s="1">
        <v>40849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>
        <v>0.3775</v>
      </c>
      <c r="K307">
        <v>0.39013300000000001</v>
      </c>
      <c r="L307">
        <v>0.71875</v>
      </c>
      <c r="M307">
        <v>8.2091700000000004E-2</v>
      </c>
      <c r="N307">
        <v>370</v>
      </c>
      <c r="O307">
        <v>3816</v>
      </c>
      <c r="P307">
        <v>4186</v>
      </c>
      <c r="Q307" t="str">
        <f>IF(BikeData[[#This Row],[casual]]+BikeData[[#This Row],[registered]]=BikeData[[#This Row],[cnt]],"OK","Check")</f>
        <v>OK</v>
      </c>
      <c r="R307">
        <f>IF(BikeData[[#This Row],[yr]]=0,2011,2012)</f>
        <v>2011</v>
      </c>
      <c r="S307" t="str">
        <f>CHOOSE(BikeData[[#This Row],[season]],"Winter","Spring","Summer","Fall")</f>
        <v>Fall</v>
      </c>
      <c r="T307" t="str">
        <f>TEXT(DATE(2000,BikeData[[#This Row],[mnth]],1),"mmmm")</f>
        <v>November</v>
      </c>
      <c r="U307" t="str">
        <f>IF(BikeData[[#This Row],[workingday]]=1,"Working Day","Non-working Day")</f>
        <v>Working Day</v>
      </c>
      <c r="V307" t="str">
        <f>CHOOSE(BikeData[[#This Row],[weekday]]+1,"Sunday","Monday","Tuesday","Wednesday","Thursday","Friday","Saturday")</f>
        <v>Wednesday</v>
      </c>
      <c r="W307" t="str">
        <f>CHOOSE(BikeData[[#This Row],[weathersit]],"Clear / Few Clouds","Mist / Cloudy","Light Rain / Snow","Heavy Rain / Snow")</f>
        <v>Clear / Few Clouds</v>
      </c>
    </row>
    <row r="308" spans="1:23" x14ac:dyDescent="0.3">
      <c r="A308">
        <v>307</v>
      </c>
      <c r="B308" s="1">
        <v>40850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>
        <v>0.408333</v>
      </c>
      <c r="K308">
        <v>0.40592099999999998</v>
      </c>
      <c r="L308">
        <v>0.70208300000000001</v>
      </c>
      <c r="M308">
        <v>0.13681699999999999</v>
      </c>
      <c r="N308">
        <v>318</v>
      </c>
      <c r="O308">
        <v>3656</v>
      </c>
      <c r="P308">
        <v>3974</v>
      </c>
      <c r="Q308" t="str">
        <f>IF(BikeData[[#This Row],[casual]]+BikeData[[#This Row],[registered]]=BikeData[[#This Row],[cnt]],"OK","Check")</f>
        <v>OK</v>
      </c>
      <c r="R308">
        <f>IF(BikeData[[#This Row],[yr]]=0,2011,2012)</f>
        <v>2011</v>
      </c>
      <c r="S308" t="str">
        <f>CHOOSE(BikeData[[#This Row],[season]],"Winter","Spring","Summer","Fall")</f>
        <v>Fall</v>
      </c>
      <c r="T308" t="str">
        <f>TEXT(DATE(2000,BikeData[[#This Row],[mnth]],1),"mmmm")</f>
        <v>November</v>
      </c>
      <c r="U308" t="str">
        <f>IF(BikeData[[#This Row],[workingday]]=1,"Working Day","Non-working Day")</f>
        <v>Working Day</v>
      </c>
      <c r="V308" t="str">
        <f>CHOOSE(BikeData[[#This Row],[weekday]]+1,"Sunday","Monday","Tuesday","Wednesday","Thursday","Friday","Saturday")</f>
        <v>Thursday</v>
      </c>
      <c r="W308" t="str">
        <f>CHOOSE(BikeData[[#This Row],[weathersit]],"Clear / Few Clouds","Mist / Cloudy","Light Rain / Snow","Heavy Rain / Snow")</f>
        <v>Clear / Few Clouds</v>
      </c>
    </row>
    <row r="309" spans="1:23" x14ac:dyDescent="0.3">
      <c r="A309">
        <v>308</v>
      </c>
      <c r="B309" s="1">
        <v>40851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>
        <v>0.403333</v>
      </c>
      <c r="K309">
        <v>0.40339199999999997</v>
      </c>
      <c r="L309">
        <v>0.62250000000000005</v>
      </c>
      <c r="M309">
        <v>0.27177899999999999</v>
      </c>
      <c r="N309">
        <v>470</v>
      </c>
      <c r="O309">
        <v>3576</v>
      </c>
      <c r="P309">
        <v>4046</v>
      </c>
      <c r="Q309" t="str">
        <f>IF(BikeData[[#This Row],[casual]]+BikeData[[#This Row],[registered]]=BikeData[[#This Row],[cnt]],"OK","Check")</f>
        <v>OK</v>
      </c>
      <c r="R309">
        <f>IF(BikeData[[#This Row],[yr]]=0,2011,2012)</f>
        <v>2011</v>
      </c>
      <c r="S309" t="str">
        <f>CHOOSE(BikeData[[#This Row],[season]],"Winter","Spring","Summer","Fall")</f>
        <v>Fall</v>
      </c>
      <c r="T309" t="str">
        <f>TEXT(DATE(2000,BikeData[[#This Row],[mnth]],1),"mmmm")</f>
        <v>November</v>
      </c>
      <c r="U309" t="str">
        <f>IF(BikeData[[#This Row],[workingday]]=1,"Working Day","Non-working Day")</f>
        <v>Working Day</v>
      </c>
      <c r="V309" t="str">
        <f>CHOOSE(BikeData[[#This Row],[weekday]]+1,"Sunday","Monday","Tuesday","Wednesday","Thursday","Friday","Saturday")</f>
        <v>Friday</v>
      </c>
      <c r="W309" t="str">
        <f>CHOOSE(BikeData[[#This Row],[weathersit]],"Clear / Few Clouds","Mist / Cloudy","Light Rain / Snow","Heavy Rain / Snow")</f>
        <v>Mist / Cloudy</v>
      </c>
    </row>
    <row r="310" spans="1:23" x14ac:dyDescent="0.3">
      <c r="A310">
        <v>309</v>
      </c>
      <c r="B310" s="1">
        <v>40852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>
        <v>0.32666699999999999</v>
      </c>
      <c r="K310">
        <v>0.32385399999999998</v>
      </c>
      <c r="L310">
        <v>0.51916700000000005</v>
      </c>
      <c r="M310">
        <v>0.18906200000000001</v>
      </c>
      <c r="N310">
        <v>1156</v>
      </c>
      <c r="O310">
        <v>2770</v>
      </c>
      <c r="P310">
        <v>3926</v>
      </c>
      <c r="Q310" t="str">
        <f>IF(BikeData[[#This Row],[casual]]+BikeData[[#This Row],[registered]]=BikeData[[#This Row],[cnt]],"OK","Check")</f>
        <v>OK</v>
      </c>
      <c r="R310">
        <f>IF(BikeData[[#This Row],[yr]]=0,2011,2012)</f>
        <v>2011</v>
      </c>
      <c r="S310" t="str">
        <f>CHOOSE(BikeData[[#This Row],[season]],"Winter","Spring","Summer","Fall")</f>
        <v>Fall</v>
      </c>
      <c r="T310" t="str">
        <f>TEXT(DATE(2000,BikeData[[#This Row],[mnth]],1),"mmmm")</f>
        <v>November</v>
      </c>
      <c r="U310" t="str">
        <f>IF(BikeData[[#This Row],[workingday]]=1,"Working Day","Non-working Day")</f>
        <v>Non-working Day</v>
      </c>
      <c r="V310" t="str">
        <f>CHOOSE(BikeData[[#This Row],[weekday]]+1,"Sunday","Monday","Tuesday","Wednesday","Thursday","Friday","Saturday")</f>
        <v>Saturday</v>
      </c>
      <c r="W310" t="str">
        <f>CHOOSE(BikeData[[#This Row],[weathersit]],"Clear / Few Clouds","Mist / Cloudy","Light Rain / Snow","Heavy Rain / Snow")</f>
        <v>Clear / Few Clouds</v>
      </c>
    </row>
    <row r="311" spans="1:23" x14ac:dyDescent="0.3">
      <c r="A311">
        <v>310</v>
      </c>
      <c r="B311" s="1">
        <v>40853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>
        <v>0.348333</v>
      </c>
      <c r="K311">
        <v>0.36235800000000001</v>
      </c>
      <c r="L311">
        <v>0.73458299999999999</v>
      </c>
      <c r="M311">
        <v>9.2054200000000003E-2</v>
      </c>
      <c r="N311">
        <v>952</v>
      </c>
      <c r="O311">
        <v>2697</v>
      </c>
      <c r="P311">
        <v>3649</v>
      </c>
      <c r="Q311" t="str">
        <f>IF(BikeData[[#This Row],[casual]]+BikeData[[#This Row],[registered]]=BikeData[[#This Row],[cnt]],"OK","Check")</f>
        <v>OK</v>
      </c>
      <c r="R311">
        <f>IF(BikeData[[#This Row],[yr]]=0,2011,2012)</f>
        <v>2011</v>
      </c>
      <c r="S311" t="str">
        <f>CHOOSE(BikeData[[#This Row],[season]],"Winter","Spring","Summer","Fall")</f>
        <v>Fall</v>
      </c>
      <c r="T311" t="str">
        <f>TEXT(DATE(2000,BikeData[[#This Row],[mnth]],1),"mmmm")</f>
        <v>November</v>
      </c>
      <c r="U311" t="str">
        <f>IF(BikeData[[#This Row],[workingday]]=1,"Working Day","Non-working Day")</f>
        <v>Non-working Day</v>
      </c>
      <c r="V311" t="str">
        <f>CHOOSE(BikeData[[#This Row],[weekday]]+1,"Sunday","Monday","Tuesday","Wednesday","Thursday","Friday","Saturday")</f>
        <v>Sunday</v>
      </c>
      <c r="W311" t="str">
        <f>CHOOSE(BikeData[[#This Row],[weathersit]],"Clear / Few Clouds","Mist / Cloudy","Light Rain / Snow","Heavy Rain / Snow")</f>
        <v>Clear / Few Clouds</v>
      </c>
    </row>
    <row r="312" spans="1:23" x14ac:dyDescent="0.3">
      <c r="A312">
        <v>311</v>
      </c>
      <c r="B312" s="1">
        <v>40854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>
        <v>0.39500000000000002</v>
      </c>
      <c r="K312">
        <v>0.40087099999999998</v>
      </c>
      <c r="L312">
        <v>0.75875000000000004</v>
      </c>
      <c r="M312">
        <v>5.7224999999999998E-2</v>
      </c>
      <c r="N312">
        <v>373</v>
      </c>
      <c r="O312">
        <v>3662</v>
      </c>
      <c r="P312">
        <v>4035</v>
      </c>
      <c r="Q312" t="str">
        <f>IF(BikeData[[#This Row],[casual]]+BikeData[[#This Row],[registered]]=BikeData[[#This Row],[cnt]],"OK","Check")</f>
        <v>OK</v>
      </c>
      <c r="R312">
        <f>IF(BikeData[[#This Row],[yr]]=0,2011,2012)</f>
        <v>2011</v>
      </c>
      <c r="S312" t="str">
        <f>CHOOSE(BikeData[[#This Row],[season]],"Winter","Spring","Summer","Fall")</f>
        <v>Fall</v>
      </c>
      <c r="T312" t="str">
        <f>TEXT(DATE(2000,BikeData[[#This Row],[mnth]],1),"mmmm")</f>
        <v>November</v>
      </c>
      <c r="U312" t="str">
        <f>IF(BikeData[[#This Row],[workingday]]=1,"Working Day","Non-working Day")</f>
        <v>Working Day</v>
      </c>
      <c r="V312" t="str">
        <f>CHOOSE(BikeData[[#This Row],[weekday]]+1,"Sunday","Monday","Tuesday","Wednesday","Thursday","Friday","Saturday")</f>
        <v>Monday</v>
      </c>
      <c r="W312" t="str">
        <f>CHOOSE(BikeData[[#This Row],[weathersit]],"Clear / Few Clouds","Mist / Cloudy","Light Rain / Snow","Heavy Rain / Snow")</f>
        <v>Clear / Few Clouds</v>
      </c>
    </row>
    <row r="313" spans="1:23" x14ac:dyDescent="0.3">
      <c r="A313">
        <v>312</v>
      </c>
      <c r="B313" s="1">
        <v>40855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>
        <v>0.408333</v>
      </c>
      <c r="K313">
        <v>0.412246</v>
      </c>
      <c r="L313">
        <v>0.72166699999999995</v>
      </c>
      <c r="M313">
        <v>6.9037500000000002E-2</v>
      </c>
      <c r="N313">
        <v>376</v>
      </c>
      <c r="O313">
        <v>3829</v>
      </c>
      <c r="P313">
        <v>4205</v>
      </c>
      <c r="Q313" t="str">
        <f>IF(BikeData[[#This Row],[casual]]+BikeData[[#This Row],[registered]]=BikeData[[#This Row],[cnt]],"OK","Check")</f>
        <v>OK</v>
      </c>
      <c r="R313">
        <f>IF(BikeData[[#This Row],[yr]]=0,2011,2012)</f>
        <v>2011</v>
      </c>
      <c r="S313" t="str">
        <f>CHOOSE(BikeData[[#This Row],[season]],"Winter","Spring","Summer","Fall")</f>
        <v>Fall</v>
      </c>
      <c r="T313" t="str">
        <f>TEXT(DATE(2000,BikeData[[#This Row],[mnth]],1),"mmmm")</f>
        <v>November</v>
      </c>
      <c r="U313" t="str">
        <f>IF(BikeData[[#This Row],[workingday]]=1,"Working Day","Non-working Day")</f>
        <v>Working Day</v>
      </c>
      <c r="V313" t="str">
        <f>CHOOSE(BikeData[[#This Row],[weekday]]+1,"Sunday","Monday","Tuesday","Wednesday","Thursday","Friday","Saturday")</f>
        <v>Tuesday</v>
      </c>
      <c r="W313" t="str">
        <f>CHOOSE(BikeData[[#This Row],[weathersit]],"Clear / Few Clouds","Mist / Cloudy","Light Rain / Snow","Heavy Rain / Snow")</f>
        <v>Clear / Few Clouds</v>
      </c>
    </row>
    <row r="314" spans="1:23" x14ac:dyDescent="0.3">
      <c r="A314">
        <v>313</v>
      </c>
      <c r="B314" s="1">
        <v>40856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>
        <v>0.4</v>
      </c>
      <c r="K314">
        <v>0.40907900000000003</v>
      </c>
      <c r="L314">
        <v>0.75833300000000003</v>
      </c>
      <c r="M314">
        <v>6.2195800000000002E-2</v>
      </c>
      <c r="N314">
        <v>305</v>
      </c>
      <c r="O314">
        <v>3804</v>
      </c>
      <c r="P314">
        <v>4109</v>
      </c>
      <c r="Q314" t="str">
        <f>IF(BikeData[[#This Row],[casual]]+BikeData[[#This Row],[registered]]=BikeData[[#This Row],[cnt]],"OK","Check")</f>
        <v>OK</v>
      </c>
      <c r="R314">
        <f>IF(BikeData[[#This Row],[yr]]=0,2011,2012)</f>
        <v>2011</v>
      </c>
      <c r="S314" t="str">
        <f>CHOOSE(BikeData[[#This Row],[season]],"Winter","Spring","Summer","Fall")</f>
        <v>Fall</v>
      </c>
      <c r="T314" t="str">
        <f>TEXT(DATE(2000,BikeData[[#This Row],[mnth]],1),"mmmm")</f>
        <v>November</v>
      </c>
      <c r="U314" t="str">
        <f>IF(BikeData[[#This Row],[workingday]]=1,"Working Day","Non-working Day")</f>
        <v>Working Day</v>
      </c>
      <c r="V314" t="str">
        <f>CHOOSE(BikeData[[#This Row],[weekday]]+1,"Sunday","Monday","Tuesday","Wednesday","Thursday","Friday","Saturday")</f>
        <v>Wednesday</v>
      </c>
      <c r="W314" t="str">
        <f>CHOOSE(BikeData[[#This Row],[weathersit]],"Clear / Few Clouds","Mist / Cloudy","Light Rain / Snow","Heavy Rain / Snow")</f>
        <v>Clear / Few Clouds</v>
      </c>
    </row>
    <row r="315" spans="1:23" x14ac:dyDescent="0.3">
      <c r="A315">
        <v>314</v>
      </c>
      <c r="B315" s="1">
        <v>40857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>
        <v>0.38</v>
      </c>
      <c r="K315">
        <v>0.37372100000000003</v>
      </c>
      <c r="L315">
        <v>0.81333299999999997</v>
      </c>
      <c r="M315">
        <v>0.18906700000000001</v>
      </c>
      <c r="N315">
        <v>190</v>
      </c>
      <c r="O315">
        <v>2743</v>
      </c>
      <c r="P315">
        <v>2933</v>
      </c>
      <c r="Q315" t="str">
        <f>IF(BikeData[[#This Row],[casual]]+BikeData[[#This Row],[registered]]=BikeData[[#This Row],[cnt]],"OK","Check")</f>
        <v>OK</v>
      </c>
      <c r="R315">
        <f>IF(BikeData[[#This Row],[yr]]=0,2011,2012)</f>
        <v>2011</v>
      </c>
      <c r="S315" t="str">
        <f>CHOOSE(BikeData[[#This Row],[season]],"Winter","Spring","Summer","Fall")</f>
        <v>Fall</v>
      </c>
      <c r="T315" t="str">
        <f>TEXT(DATE(2000,BikeData[[#This Row],[mnth]],1),"mmmm")</f>
        <v>November</v>
      </c>
      <c r="U315" t="str">
        <f>IF(BikeData[[#This Row],[workingday]]=1,"Working Day","Non-working Day")</f>
        <v>Working Day</v>
      </c>
      <c r="V315" t="str">
        <f>CHOOSE(BikeData[[#This Row],[weekday]]+1,"Sunday","Monday","Tuesday","Wednesday","Thursday","Friday","Saturday")</f>
        <v>Thursday</v>
      </c>
      <c r="W315" t="str">
        <f>CHOOSE(BikeData[[#This Row],[weathersit]],"Clear / Few Clouds","Mist / Cloudy","Light Rain / Snow","Heavy Rain / Snow")</f>
        <v>Mist / Cloudy</v>
      </c>
    </row>
    <row r="316" spans="1:23" x14ac:dyDescent="0.3">
      <c r="A316">
        <v>315</v>
      </c>
      <c r="B316" s="1">
        <v>40858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>
        <v>0.32416699999999998</v>
      </c>
      <c r="K316">
        <v>0.30681700000000001</v>
      </c>
      <c r="L316">
        <v>0.44624999999999998</v>
      </c>
      <c r="M316">
        <v>0.31467499999999998</v>
      </c>
      <c r="N316">
        <v>440</v>
      </c>
      <c r="O316">
        <v>2928</v>
      </c>
      <c r="P316">
        <v>3368</v>
      </c>
      <c r="Q316" t="str">
        <f>IF(BikeData[[#This Row],[casual]]+BikeData[[#This Row],[registered]]=BikeData[[#This Row],[cnt]],"OK","Check")</f>
        <v>OK</v>
      </c>
      <c r="R316">
        <f>IF(BikeData[[#This Row],[yr]]=0,2011,2012)</f>
        <v>2011</v>
      </c>
      <c r="S316" t="str">
        <f>CHOOSE(BikeData[[#This Row],[season]],"Winter","Spring","Summer","Fall")</f>
        <v>Fall</v>
      </c>
      <c r="T316" t="str">
        <f>TEXT(DATE(2000,BikeData[[#This Row],[mnth]],1),"mmmm")</f>
        <v>November</v>
      </c>
      <c r="U316" t="str">
        <f>IF(BikeData[[#This Row],[workingday]]=1,"Working Day","Non-working Day")</f>
        <v>Non-working Day</v>
      </c>
      <c r="V316" t="str">
        <f>CHOOSE(BikeData[[#This Row],[weekday]]+1,"Sunday","Monday","Tuesday","Wednesday","Thursday","Friday","Saturday")</f>
        <v>Friday</v>
      </c>
      <c r="W316" t="str">
        <f>CHOOSE(BikeData[[#This Row],[weathersit]],"Clear / Few Clouds","Mist / Cloudy","Light Rain / Snow","Heavy Rain / Snow")</f>
        <v>Clear / Few Clouds</v>
      </c>
    </row>
    <row r="317" spans="1:23" x14ac:dyDescent="0.3">
      <c r="A317">
        <v>316</v>
      </c>
      <c r="B317" s="1">
        <v>40859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>
        <v>0.35666700000000001</v>
      </c>
      <c r="K317">
        <v>0.35794199999999998</v>
      </c>
      <c r="L317">
        <v>0.55291699999999999</v>
      </c>
      <c r="M317">
        <v>0.212062</v>
      </c>
      <c r="N317">
        <v>1275</v>
      </c>
      <c r="O317">
        <v>2792</v>
      </c>
      <c r="P317">
        <v>4067</v>
      </c>
      <c r="Q317" t="str">
        <f>IF(BikeData[[#This Row],[casual]]+BikeData[[#This Row],[registered]]=BikeData[[#This Row],[cnt]],"OK","Check")</f>
        <v>OK</v>
      </c>
      <c r="R317">
        <f>IF(BikeData[[#This Row],[yr]]=0,2011,2012)</f>
        <v>2011</v>
      </c>
      <c r="S317" t="str">
        <f>CHOOSE(BikeData[[#This Row],[season]],"Winter","Spring","Summer","Fall")</f>
        <v>Fall</v>
      </c>
      <c r="T317" t="str">
        <f>TEXT(DATE(2000,BikeData[[#This Row],[mnth]],1),"mmmm")</f>
        <v>November</v>
      </c>
      <c r="U317" t="str">
        <f>IF(BikeData[[#This Row],[workingday]]=1,"Working Day","Non-working Day")</f>
        <v>Non-working Day</v>
      </c>
      <c r="V317" t="str">
        <f>CHOOSE(BikeData[[#This Row],[weekday]]+1,"Sunday","Monday","Tuesday","Wednesday","Thursday","Friday","Saturday")</f>
        <v>Saturday</v>
      </c>
      <c r="W317" t="str">
        <f>CHOOSE(BikeData[[#This Row],[weathersit]],"Clear / Few Clouds","Mist / Cloudy","Light Rain / Snow","Heavy Rain / Snow")</f>
        <v>Clear / Few Clouds</v>
      </c>
    </row>
    <row r="318" spans="1:23" x14ac:dyDescent="0.3">
      <c r="A318">
        <v>317</v>
      </c>
      <c r="B318" s="1">
        <v>40860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>
        <v>0.44083299999999997</v>
      </c>
      <c r="K318">
        <v>0.43054999999999999</v>
      </c>
      <c r="L318">
        <v>0.45833299999999999</v>
      </c>
      <c r="M318">
        <v>0.281721</v>
      </c>
      <c r="N318">
        <v>1004</v>
      </c>
      <c r="O318">
        <v>2713</v>
      </c>
      <c r="P318">
        <v>3717</v>
      </c>
      <c r="Q318" t="str">
        <f>IF(BikeData[[#This Row],[casual]]+BikeData[[#This Row],[registered]]=BikeData[[#This Row],[cnt]],"OK","Check")</f>
        <v>OK</v>
      </c>
      <c r="R318">
        <f>IF(BikeData[[#This Row],[yr]]=0,2011,2012)</f>
        <v>2011</v>
      </c>
      <c r="S318" t="str">
        <f>CHOOSE(BikeData[[#This Row],[season]],"Winter","Spring","Summer","Fall")</f>
        <v>Fall</v>
      </c>
      <c r="T318" t="str">
        <f>TEXT(DATE(2000,BikeData[[#This Row],[mnth]],1),"mmmm")</f>
        <v>November</v>
      </c>
      <c r="U318" t="str">
        <f>IF(BikeData[[#This Row],[workingday]]=1,"Working Day","Non-working Day")</f>
        <v>Non-working Day</v>
      </c>
      <c r="V318" t="str">
        <f>CHOOSE(BikeData[[#This Row],[weekday]]+1,"Sunday","Monday","Tuesday","Wednesday","Thursday","Friday","Saturday")</f>
        <v>Sunday</v>
      </c>
      <c r="W318" t="str">
        <f>CHOOSE(BikeData[[#This Row],[weathersit]],"Clear / Few Clouds","Mist / Cloudy","Light Rain / Snow","Heavy Rain / Snow")</f>
        <v>Clear / Few Clouds</v>
      </c>
    </row>
    <row r="319" spans="1:23" x14ac:dyDescent="0.3">
      <c r="A319">
        <v>318</v>
      </c>
      <c r="B319" s="1">
        <v>40861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>
        <v>0.53</v>
      </c>
      <c r="K319">
        <v>0.52461199999999997</v>
      </c>
      <c r="L319">
        <v>0.58708300000000002</v>
      </c>
      <c r="M319">
        <v>0.30659599999999998</v>
      </c>
      <c r="N319">
        <v>595</v>
      </c>
      <c r="O319">
        <v>3891</v>
      </c>
      <c r="P319">
        <v>4486</v>
      </c>
      <c r="Q319" t="str">
        <f>IF(BikeData[[#This Row],[casual]]+BikeData[[#This Row],[registered]]=BikeData[[#This Row],[cnt]],"OK","Check")</f>
        <v>OK</v>
      </c>
      <c r="R319">
        <f>IF(BikeData[[#This Row],[yr]]=0,2011,2012)</f>
        <v>2011</v>
      </c>
      <c r="S319" t="str">
        <f>CHOOSE(BikeData[[#This Row],[season]],"Winter","Spring","Summer","Fall")</f>
        <v>Fall</v>
      </c>
      <c r="T319" t="str">
        <f>TEXT(DATE(2000,BikeData[[#This Row],[mnth]],1),"mmmm")</f>
        <v>November</v>
      </c>
      <c r="U319" t="str">
        <f>IF(BikeData[[#This Row],[workingday]]=1,"Working Day","Non-working Day")</f>
        <v>Working Day</v>
      </c>
      <c r="V319" t="str">
        <f>CHOOSE(BikeData[[#This Row],[weekday]]+1,"Sunday","Monday","Tuesday","Wednesday","Thursday","Friday","Saturday")</f>
        <v>Monday</v>
      </c>
      <c r="W319" t="str">
        <f>CHOOSE(BikeData[[#This Row],[weathersit]],"Clear / Few Clouds","Mist / Cloudy","Light Rain / Snow","Heavy Rain / Snow")</f>
        <v>Clear / Few Clouds</v>
      </c>
    </row>
    <row r="320" spans="1:23" x14ac:dyDescent="0.3">
      <c r="A320">
        <v>319</v>
      </c>
      <c r="B320" s="1">
        <v>40862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>
        <v>0.53</v>
      </c>
      <c r="K320">
        <v>0.507579</v>
      </c>
      <c r="L320">
        <v>0.68874999999999997</v>
      </c>
      <c r="M320">
        <v>0.199633</v>
      </c>
      <c r="N320">
        <v>449</v>
      </c>
      <c r="O320">
        <v>3746</v>
      </c>
      <c r="P320">
        <v>4195</v>
      </c>
      <c r="Q320" t="str">
        <f>IF(BikeData[[#This Row],[casual]]+BikeData[[#This Row],[registered]]=BikeData[[#This Row],[cnt]],"OK","Check")</f>
        <v>OK</v>
      </c>
      <c r="R320">
        <f>IF(BikeData[[#This Row],[yr]]=0,2011,2012)</f>
        <v>2011</v>
      </c>
      <c r="S320" t="str">
        <f>CHOOSE(BikeData[[#This Row],[season]],"Winter","Spring","Summer","Fall")</f>
        <v>Fall</v>
      </c>
      <c r="T320" t="str">
        <f>TEXT(DATE(2000,BikeData[[#This Row],[mnth]],1),"mmmm")</f>
        <v>November</v>
      </c>
      <c r="U320" t="str">
        <f>IF(BikeData[[#This Row],[workingday]]=1,"Working Day","Non-working Day")</f>
        <v>Working Day</v>
      </c>
      <c r="V320" t="str">
        <f>CHOOSE(BikeData[[#This Row],[weekday]]+1,"Sunday","Monday","Tuesday","Wednesday","Thursday","Friday","Saturday")</f>
        <v>Tuesday</v>
      </c>
      <c r="W320" t="str">
        <f>CHOOSE(BikeData[[#This Row],[weathersit]],"Clear / Few Clouds","Mist / Cloudy","Light Rain / Snow","Heavy Rain / Snow")</f>
        <v>Mist / Cloudy</v>
      </c>
    </row>
    <row r="321" spans="1:23" x14ac:dyDescent="0.3">
      <c r="A321">
        <v>320</v>
      </c>
      <c r="B321" s="1">
        <v>40863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>
        <v>0.45666699999999999</v>
      </c>
      <c r="K321">
        <v>0.451988</v>
      </c>
      <c r="L321">
        <v>0.93</v>
      </c>
      <c r="M321">
        <v>0.13682900000000001</v>
      </c>
      <c r="N321">
        <v>145</v>
      </c>
      <c r="O321">
        <v>1672</v>
      </c>
      <c r="P321">
        <v>1817</v>
      </c>
      <c r="Q321" t="str">
        <f>IF(BikeData[[#This Row],[casual]]+BikeData[[#This Row],[registered]]=BikeData[[#This Row],[cnt]],"OK","Check")</f>
        <v>OK</v>
      </c>
      <c r="R321">
        <f>IF(BikeData[[#This Row],[yr]]=0,2011,2012)</f>
        <v>2011</v>
      </c>
      <c r="S321" t="str">
        <f>CHOOSE(BikeData[[#This Row],[season]],"Winter","Spring","Summer","Fall")</f>
        <v>Fall</v>
      </c>
      <c r="T321" t="str">
        <f>TEXT(DATE(2000,BikeData[[#This Row],[mnth]],1),"mmmm")</f>
        <v>November</v>
      </c>
      <c r="U321" t="str">
        <f>IF(BikeData[[#This Row],[workingday]]=1,"Working Day","Non-working Day")</f>
        <v>Working Day</v>
      </c>
      <c r="V321" t="str">
        <f>CHOOSE(BikeData[[#This Row],[weekday]]+1,"Sunday","Monday","Tuesday","Wednesday","Thursday","Friday","Saturday")</f>
        <v>Wednesday</v>
      </c>
      <c r="W321" t="str">
        <f>CHOOSE(BikeData[[#This Row],[weathersit]],"Clear / Few Clouds","Mist / Cloudy","Light Rain / Snow","Heavy Rain / Snow")</f>
        <v>Light Rain / Snow</v>
      </c>
    </row>
    <row r="322" spans="1:23" x14ac:dyDescent="0.3">
      <c r="A322">
        <v>321</v>
      </c>
      <c r="B322" s="1">
        <v>40864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>
        <v>0.341667</v>
      </c>
      <c r="K322">
        <v>0.32322099999999998</v>
      </c>
      <c r="L322">
        <v>0.57583300000000004</v>
      </c>
      <c r="M322">
        <v>0.30536200000000002</v>
      </c>
      <c r="N322">
        <v>139</v>
      </c>
      <c r="O322">
        <v>2914</v>
      </c>
      <c r="P322">
        <v>3053</v>
      </c>
      <c r="Q322" t="str">
        <f>IF(BikeData[[#This Row],[casual]]+BikeData[[#This Row],[registered]]=BikeData[[#This Row],[cnt]],"OK","Check")</f>
        <v>OK</v>
      </c>
      <c r="R322">
        <f>IF(BikeData[[#This Row],[yr]]=0,2011,2012)</f>
        <v>2011</v>
      </c>
      <c r="S322" t="str">
        <f>CHOOSE(BikeData[[#This Row],[season]],"Winter","Spring","Summer","Fall")</f>
        <v>Fall</v>
      </c>
      <c r="T322" t="str">
        <f>TEXT(DATE(2000,BikeData[[#This Row],[mnth]],1),"mmmm")</f>
        <v>November</v>
      </c>
      <c r="U322" t="str">
        <f>IF(BikeData[[#This Row],[workingday]]=1,"Working Day","Non-working Day")</f>
        <v>Working Day</v>
      </c>
      <c r="V322" t="str">
        <f>CHOOSE(BikeData[[#This Row],[weekday]]+1,"Sunday","Monday","Tuesday","Wednesday","Thursday","Friday","Saturday")</f>
        <v>Thursday</v>
      </c>
      <c r="W322" t="str">
        <f>CHOOSE(BikeData[[#This Row],[weathersit]],"Clear / Few Clouds","Mist / Cloudy","Light Rain / Snow","Heavy Rain / Snow")</f>
        <v>Mist / Cloudy</v>
      </c>
    </row>
    <row r="323" spans="1:23" x14ac:dyDescent="0.3">
      <c r="A323">
        <v>322</v>
      </c>
      <c r="B323" s="1">
        <v>40865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>
        <v>0.27416699999999999</v>
      </c>
      <c r="K323">
        <v>0.27272099999999999</v>
      </c>
      <c r="L323">
        <v>0.41</v>
      </c>
      <c r="M323">
        <v>0.16853299999999999</v>
      </c>
      <c r="N323">
        <v>245</v>
      </c>
      <c r="O323">
        <v>3147</v>
      </c>
      <c r="P323">
        <v>3392</v>
      </c>
      <c r="Q323" t="str">
        <f>IF(BikeData[[#This Row],[casual]]+BikeData[[#This Row],[registered]]=BikeData[[#This Row],[cnt]],"OK","Check")</f>
        <v>OK</v>
      </c>
      <c r="R323">
        <f>IF(BikeData[[#This Row],[yr]]=0,2011,2012)</f>
        <v>2011</v>
      </c>
      <c r="S323" t="str">
        <f>CHOOSE(BikeData[[#This Row],[season]],"Winter","Spring","Summer","Fall")</f>
        <v>Fall</v>
      </c>
      <c r="T323" t="str">
        <f>TEXT(DATE(2000,BikeData[[#This Row],[mnth]],1),"mmmm")</f>
        <v>November</v>
      </c>
      <c r="U323" t="str">
        <f>IF(BikeData[[#This Row],[workingday]]=1,"Working Day","Non-working Day")</f>
        <v>Working Day</v>
      </c>
      <c r="V323" t="str">
        <f>CHOOSE(BikeData[[#This Row],[weekday]]+1,"Sunday","Monday","Tuesday","Wednesday","Thursday","Friday","Saturday")</f>
        <v>Friday</v>
      </c>
      <c r="W323" t="str">
        <f>CHOOSE(BikeData[[#This Row],[weathersit]],"Clear / Few Clouds","Mist / Cloudy","Light Rain / Snow","Heavy Rain / Snow")</f>
        <v>Clear / Few Clouds</v>
      </c>
    </row>
    <row r="324" spans="1:23" x14ac:dyDescent="0.3">
      <c r="A324">
        <v>323</v>
      </c>
      <c r="B324" s="1">
        <v>40866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>
        <v>0.32916699999999999</v>
      </c>
      <c r="K324">
        <v>0.32448300000000002</v>
      </c>
      <c r="L324">
        <v>0.50208299999999995</v>
      </c>
      <c r="M324">
        <v>0.224496</v>
      </c>
      <c r="N324">
        <v>943</v>
      </c>
      <c r="O324">
        <v>2720</v>
      </c>
      <c r="P324">
        <v>3663</v>
      </c>
      <c r="Q324" t="str">
        <f>IF(BikeData[[#This Row],[casual]]+BikeData[[#This Row],[registered]]=BikeData[[#This Row],[cnt]],"OK","Check")</f>
        <v>OK</v>
      </c>
      <c r="R324">
        <f>IF(BikeData[[#This Row],[yr]]=0,2011,2012)</f>
        <v>2011</v>
      </c>
      <c r="S324" t="str">
        <f>CHOOSE(BikeData[[#This Row],[season]],"Winter","Spring","Summer","Fall")</f>
        <v>Fall</v>
      </c>
      <c r="T324" t="str">
        <f>TEXT(DATE(2000,BikeData[[#This Row],[mnth]],1),"mmmm")</f>
        <v>November</v>
      </c>
      <c r="U324" t="str">
        <f>IF(BikeData[[#This Row],[workingday]]=1,"Working Day","Non-working Day")</f>
        <v>Non-working Day</v>
      </c>
      <c r="V324" t="str">
        <f>CHOOSE(BikeData[[#This Row],[weekday]]+1,"Sunday","Monday","Tuesday","Wednesday","Thursday","Friday","Saturday")</f>
        <v>Saturday</v>
      </c>
      <c r="W324" t="str">
        <f>CHOOSE(BikeData[[#This Row],[weathersit]],"Clear / Few Clouds","Mist / Cloudy","Light Rain / Snow","Heavy Rain / Snow")</f>
        <v>Clear / Few Clouds</v>
      </c>
    </row>
    <row r="325" spans="1:23" x14ac:dyDescent="0.3">
      <c r="A325">
        <v>324</v>
      </c>
      <c r="B325" s="1">
        <v>40867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>
        <v>0.46333299999999999</v>
      </c>
      <c r="K325">
        <v>0.45705800000000002</v>
      </c>
      <c r="L325">
        <v>0.68458300000000005</v>
      </c>
      <c r="M325">
        <v>0.18595</v>
      </c>
      <c r="N325">
        <v>787</v>
      </c>
      <c r="O325">
        <v>2733</v>
      </c>
      <c r="P325">
        <v>3520</v>
      </c>
      <c r="Q325" t="str">
        <f>IF(BikeData[[#This Row],[casual]]+BikeData[[#This Row],[registered]]=BikeData[[#This Row],[cnt]],"OK","Check")</f>
        <v>OK</v>
      </c>
      <c r="R325">
        <f>IF(BikeData[[#This Row],[yr]]=0,2011,2012)</f>
        <v>2011</v>
      </c>
      <c r="S325" t="str">
        <f>CHOOSE(BikeData[[#This Row],[season]],"Winter","Spring","Summer","Fall")</f>
        <v>Fall</v>
      </c>
      <c r="T325" t="str">
        <f>TEXT(DATE(2000,BikeData[[#This Row],[mnth]],1),"mmmm")</f>
        <v>November</v>
      </c>
      <c r="U325" t="str">
        <f>IF(BikeData[[#This Row],[workingday]]=1,"Working Day","Non-working Day")</f>
        <v>Non-working Day</v>
      </c>
      <c r="V325" t="str">
        <f>CHOOSE(BikeData[[#This Row],[weekday]]+1,"Sunday","Monday","Tuesday","Wednesday","Thursday","Friday","Saturday")</f>
        <v>Sunday</v>
      </c>
      <c r="W325" t="str">
        <f>CHOOSE(BikeData[[#This Row],[weathersit]],"Clear / Few Clouds","Mist / Cloudy","Light Rain / Snow","Heavy Rain / Snow")</f>
        <v>Mist / Cloudy</v>
      </c>
    </row>
    <row r="326" spans="1:23" x14ac:dyDescent="0.3">
      <c r="A326">
        <v>325</v>
      </c>
      <c r="B326" s="1">
        <v>40868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>
        <v>0.44750000000000001</v>
      </c>
      <c r="K326">
        <v>0.44506200000000001</v>
      </c>
      <c r="L326">
        <v>0.91</v>
      </c>
      <c r="M326">
        <v>0.13805400000000001</v>
      </c>
      <c r="N326">
        <v>220</v>
      </c>
      <c r="O326">
        <v>2545</v>
      </c>
      <c r="P326">
        <v>2765</v>
      </c>
      <c r="Q326" t="str">
        <f>IF(BikeData[[#This Row],[casual]]+BikeData[[#This Row],[registered]]=BikeData[[#This Row],[cnt]],"OK","Check")</f>
        <v>OK</v>
      </c>
      <c r="R326">
        <f>IF(BikeData[[#This Row],[yr]]=0,2011,2012)</f>
        <v>2011</v>
      </c>
      <c r="S326" t="str">
        <f>CHOOSE(BikeData[[#This Row],[season]],"Winter","Spring","Summer","Fall")</f>
        <v>Fall</v>
      </c>
      <c r="T326" t="str">
        <f>TEXT(DATE(2000,BikeData[[#This Row],[mnth]],1),"mmmm")</f>
        <v>November</v>
      </c>
      <c r="U326" t="str">
        <f>IF(BikeData[[#This Row],[workingday]]=1,"Working Day","Non-working Day")</f>
        <v>Working Day</v>
      </c>
      <c r="V326" t="str">
        <f>CHOOSE(BikeData[[#This Row],[weekday]]+1,"Sunday","Monday","Tuesday","Wednesday","Thursday","Friday","Saturday")</f>
        <v>Monday</v>
      </c>
      <c r="W326" t="str">
        <f>CHOOSE(BikeData[[#This Row],[weathersit]],"Clear / Few Clouds","Mist / Cloudy","Light Rain / Snow","Heavy Rain / Snow")</f>
        <v>Light Rain / Snow</v>
      </c>
    </row>
    <row r="327" spans="1:23" x14ac:dyDescent="0.3">
      <c r="A327">
        <v>326</v>
      </c>
      <c r="B327" s="1">
        <v>40869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>
        <v>0.41666700000000001</v>
      </c>
      <c r="K327">
        <v>0.42169600000000002</v>
      </c>
      <c r="L327">
        <v>0.96250000000000002</v>
      </c>
      <c r="M327">
        <v>0.11879199999999999</v>
      </c>
      <c r="N327">
        <v>69</v>
      </c>
      <c r="O327">
        <v>1538</v>
      </c>
      <c r="P327">
        <v>1607</v>
      </c>
      <c r="Q327" t="str">
        <f>IF(BikeData[[#This Row],[casual]]+BikeData[[#This Row],[registered]]=BikeData[[#This Row],[cnt]],"OK","Check")</f>
        <v>OK</v>
      </c>
      <c r="R327">
        <f>IF(BikeData[[#This Row],[yr]]=0,2011,2012)</f>
        <v>2011</v>
      </c>
      <c r="S327" t="str">
        <f>CHOOSE(BikeData[[#This Row],[season]],"Winter","Spring","Summer","Fall")</f>
        <v>Fall</v>
      </c>
      <c r="T327" t="str">
        <f>TEXT(DATE(2000,BikeData[[#This Row],[mnth]],1),"mmmm")</f>
        <v>November</v>
      </c>
      <c r="U327" t="str">
        <f>IF(BikeData[[#This Row],[workingday]]=1,"Working Day","Non-working Day")</f>
        <v>Working Day</v>
      </c>
      <c r="V327" t="str">
        <f>CHOOSE(BikeData[[#This Row],[weekday]]+1,"Sunday","Monday","Tuesday","Wednesday","Thursday","Friday","Saturday")</f>
        <v>Tuesday</v>
      </c>
      <c r="W327" t="str">
        <f>CHOOSE(BikeData[[#This Row],[weathersit]],"Clear / Few Clouds","Mist / Cloudy","Light Rain / Snow","Heavy Rain / Snow")</f>
        <v>Light Rain / Snow</v>
      </c>
    </row>
    <row r="328" spans="1:23" x14ac:dyDescent="0.3">
      <c r="A328">
        <v>327</v>
      </c>
      <c r="B328" s="1">
        <v>40870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>
        <v>0.44083299999999997</v>
      </c>
      <c r="K328">
        <v>0.430537</v>
      </c>
      <c r="L328">
        <v>0.75791699999999995</v>
      </c>
      <c r="M328">
        <v>0.33582499999999998</v>
      </c>
      <c r="N328">
        <v>112</v>
      </c>
      <c r="O328">
        <v>2454</v>
      </c>
      <c r="P328">
        <v>2566</v>
      </c>
      <c r="Q328" t="str">
        <f>IF(BikeData[[#This Row],[casual]]+BikeData[[#This Row],[registered]]=BikeData[[#This Row],[cnt]],"OK","Check")</f>
        <v>OK</v>
      </c>
      <c r="R328">
        <f>IF(BikeData[[#This Row],[yr]]=0,2011,2012)</f>
        <v>2011</v>
      </c>
      <c r="S328" t="str">
        <f>CHOOSE(BikeData[[#This Row],[season]],"Winter","Spring","Summer","Fall")</f>
        <v>Fall</v>
      </c>
      <c r="T328" t="str">
        <f>TEXT(DATE(2000,BikeData[[#This Row],[mnth]],1),"mmmm")</f>
        <v>November</v>
      </c>
      <c r="U328" t="str">
        <f>IF(BikeData[[#This Row],[workingday]]=1,"Working Day","Non-working Day")</f>
        <v>Working Day</v>
      </c>
      <c r="V328" t="str">
        <f>CHOOSE(BikeData[[#This Row],[weekday]]+1,"Sunday","Monday","Tuesday","Wednesday","Thursday","Friday","Saturday")</f>
        <v>Wednesday</v>
      </c>
      <c r="W328" t="str">
        <f>CHOOSE(BikeData[[#This Row],[weathersit]],"Clear / Few Clouds","Mist / Cloudy","Light Rain / Snow","Heavy Rain / Snow")</f>
        <v>Mist / Cloudy</v>
      </c>
    </row>
    <row r="329" spans="1:23" x14ac:dyDescent="0.3">
      <c r="A329">
        <v>328</v>
      </c>
      <c r="B329" s="1">
        <v>40871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>
        <v>0.37333300000000003</v>
      </c>
      <c r="K329">
        <v>0.372471</v>
      </c>
      <c r="L329">
        <v>0.54916699999999996</v>
      </c>
      <c r="M329">
        <v>0.16730400000000001</v>
      </c>
      <c r="N329">
        <v>560</v>
      </c>
      <c r="O329">
        <v>935</v>
      </c>
      <c r="P329">
        <v>1495</v>
      </c>
      <c r="Q329" t="str">
        <f>IF(BikeData[[#This Row],[casual]]+BikeData[[#This Row],[registered]]=BikeData[[#This Row],[cnt]],"OK","Check")</f>
        <v>OK</v>
      </c>
      <c r="R329">
        <f>IF(BikeData[[#This Row],[yr]]=0,2011,2012)</f>
        <v>2011</v>
      </c>
      <c r="S329" t="str">
        <f>CHOOSE(BikeData[[#This Row],[season]],"Winter","Spring","Summer","Fall")</f>
        <v>Fall</v>
      </c>
      <c r="T329" t="str">
        <f>TEXT(DATE(2000,BikeData[[#This Row],[mnth]],1),"mmmm")</f>
        <v>November</v>
      </c>
      <c r="U329" t="str">
        <f>IF(BikeData[[#This Row],[workingday]]=1,"Working Day","Non-working Day")</f>
        <v>Non-working Day</v>
      </c>
      <c r="V329" t="str">
        <f>CHOOSE(BikeData[[#This Row],[weekday]]+1,"Sunday","Monday","Tuesday","Wednesday","Thursday","Friday","Saturday")</f>
        <v>Thursday</v>
      </c>
      <c r="W329" t="str">
        <f>CHOOSE(BikeData[[#This Row],[weathersit]],"Clear / Few Clouds","Mist / Cloudy","Light Rain / Snow","Heavy Rain / Snow")</f>
        <v>Clear / Few Clouds</v>
      </c>
    </row>
    <row r="330" spans="1:23" x14ac:dyDescent="0.3">
      <c r="A330">
        <v>329</v>
      </c>
      <c r="B330" s="1">
        <v>40872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>
        <v>0.375</v>
      </c>
      <c r="K330">
        <v>0.38067099999999998</v>
      </c>
      <c r="L330">
        <v>0.64375000000000004</v>
      </c>
      <c r="M330">
        <v>9.8895800000000006E-2</v>
      </c>
      <c r="N330">
        <v>1095</v>
      </c>
      <c r="O330">
        <v>1697</v>
      </c>
      <c r="P330">
        <v>2792</v>
      </c>
      <c r="Q330" t="str">
        <f>IF(BikeData[[#This Row],[casual]]+BikeData[[#This Row],[registered]]=BikeData[[#This Row],[cnt]],"OK","Check")</f>
        <v>OK</v>
      </c>
      <c r="R330">
        <f>IF(BikeData[[#This Row],[yr]]=0,2011,2012)</f>
        <v>2011</v>
      </c>
      <c r="S330" t="str">
        <f>CHOOSE(BikeData[[#This Row],[season]],"Winter","Spring","Summer","Fall")</f>
        <v>Fall</v>
      </c>
      <c r="T330" t="str">
        <f>TEXT(DATE(2000,BikeData[[#This Row],[mnth]],1),"mmmm")</f>
        <v>November</v>
      </c>
      <c r="U330" t="str">
        <f>IF(BikeData[[#This Row],[workingday]]=1,"Working Day","Non-working Day")</f>
        <v>Working Day</v>
      </c>
      <c r="V330" t="str">
        <f>CHOOSE(BikeData[[#This Row],[weekday]]+1,"Sunday","Monday","Tuesday","Wednesday","Thursday","Friday","Saturday")</f>
        <v>Friday</v>
      </c>
      <c r="W330" t="str">
        <f>CHOOSE(BikeData[[#This Row],[weathersit]],"Clear / Few Clouds","Mist / Cloudy","Light Rain / Snow","Heavy Rain / Snow")</f>
        <v>Clear / Few Clouds</v>
      </c>
    </row>
    <row r="331" spans="1:23" x14ac:dyDescent="0.3">
      <c r="A331">
        <v>330</v>
      </c>
      <c r="B331" s="1">
        <v>40873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>
        <v>0.37583299999999997</v>
      </c>
      <c r="K331">
        <v>0.38508700000000001</v>
      </c>
      <c r="L331">
        <v>0.68166700000000002</v>
      </c>
      <c r="M331">
        <v>6.8420800000000004E-2</v>
      </c>
      <c r="N331">
        <v>1249</v>
      </c>
      <c r="O331">
        <v>1819</v>
      </c>
      <c r="P331">
        <v>3068</v>
      </c>
      <c r="Q331" t="str">
        <f>IF(BikeData[[#This Row],[casual]]+BikeData[[#This Row],[registered]]=BikeData[[#This Row],[cnt]],"OK","Check")</f>
        <v>OK</v>
      </c>
      <c r="R331">
        <f>IF(BikeData[[#This Row],[yr]]=0,2011,2012)</f>
        <v>2011</v>
      </c>
      <c r="S331" t="str">
        <f>CHOOSE(BikeData[[#This Row],[season]],"Winter","Spring","Summer","Fall")</f>
        <v>Fall</v>
      </c>
      <c r="T331" t="str">
        <f>TEXT(DATE(2000,BikeData[[#This Row],[mnth]],1),"mmmm")</f>
        <v>November</v>
      </c>
      <c r="U331" t="str">
        <f>IF(BikeData[[#This Row],[workingday]]=1,"Working Day","Non-working Day")</f>
        <v>Non-working Day</v>
      </c>
      <c r="V331" t="str">
        <f>CHOOSE(BikeData[[#This Row],[weekday]]+1,"Sunday","Monday","Tuesday","Wednesday","Thursday","Friday","Saturday")</f>
        <v>Saturday</v>
      </c>
      <c r="W331" t="str">
        <f>CHOOSE(BikeData[[#This Row],[weathersit]],"Clear / Few Clouds","Mist / Cloudy","Light Rain / Snow","Heavy Rain / Snow")</f>
        <v>Clear / Few Clouds</v>
      </c>
    </row>
    <row r="332" spans="1:23" x14ac:dyDescent="0.3">
      <c r="A332">
        <v>331</v>
      </c>
      <c r="B332" s="1">
        <v>40874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>
        <v>0.45916699999999999</v>
      </c>
      <c r="K332">
        <v>0.45579999999999998</v>
      </c>
      <c r="L332">
        <v>0.69833299999999998</v>
      </c>
      <c r="M332">
        <v>0.208954</v>
      </c>
      <c r="N332">
        <v>810</v>
      </c>
      <c r="O332">
        <v>2261</v>
      </c>
      <c r="P332">
        <v>3071</v>
      </c>
      <c r="Q332" t="str">
        <f>IF(BikeData[[#This Row],[casual]]+BikeData[[#This Row],[registered]]=BikeData[[#This Row],[cnt]],"OK","Check")</f>
        <v>OK</v>
      </c>
      <c r="R332">
        <f>IF(BikeData[[#This Row],[yr]]=0,2011,2012)</f>
        <v>2011</v>
      </c>
      <c r="S332" t="str">
        <f>CHOOSE(BikeData[[#This Row],[season]],"Winter","Spring","Summer","Fall")</f>
        <v>Fall</v>
      </c>
      <c r="T332" t="str">
        <f>TEXT(DATE(2000,BikeData[[#This Row],[mnth]],1),"mmmm")</f>
        <v>November</v>
      </c>
      <c r="U332" t="str">
        <f>IF(BikeData[[#This Row],[workingday]]=1,"Working Day","Non-working Day")</f>
        <v>Non-working Day</v>
      </c>
      <c r="V332" t="str">
        <f>CHOOSE(BikeData[[#This Row],[weekday]]+1,"Sunday","Monday","Tuesday","Wednesday","Thursday","Friday","Saturday")</f>
        <v>Sunday</v>
      </c>
      <c r="W332" t="str">
        <f>CHOOSE(BikeData[[#This Row],[weathersit]],"Clear / Few Clouds","Mist / Cloudy","Light Rain / Snow","Heavy Rain / Snow")</f>
        <v>Clear / Few Clouds</v>
      </c>
    </row>
    <row r="333" spans="1:23" x14ac:dyDescent="0.3">
      <c r="A333">
        <v>332</v>
      </c>
      <c r="B333" s="1">
        <v>40875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>
        <v>0.50347799999999998</v>
      </c>
      <c r="K333">
        <v>0.490122</v>
      </c>
      <c r="L333">
        <v>0.74304300000000001</v>
      </c>
      <c r="M333">
        <v>0.142122</v>
      </c>
      <c r="N333">
        <v>253</v>
      </c>
      <c r="O333">
        <v>3614</v>
      </c>
      <c r="P333">
        <v>3867</v>
      </c>
      <c r="Q333" t="str">
        <f>IF(BikeData[[#This Row],[casual]]+BikeData[[#This Row],[registered]]=BikeData[[#This Row],[cnt]],"OK","Check")</f>
        <v>OK</v>
      </c>
      <c r="R333">
        <f>IF(BikeData[[#This Row],[yr]]=0,2011,2012)</f>
        <v>2011</v>
      </c>
      <c r="S333" t="str">
        <f>CHOOSE(BikeData[[#This Row],[season]],"Winter","Spring","Summer","Fall")</f>
        <v>Fall</v>
      </c>
      <c r="T333" t="str">
        <f>TEXT(DATE(2000,BikeData[[#This Row],[mnth]],1),"mmmm")</f>
        <v>November</v>
      </c>
      <c r="U333" t="str">
        <f>IF(BikeData[[#This Row],[workingday]]=1,"Working Day","Non-working Day")</f>
        <v>Working Day</v>
      </c>
      <c r="V333" t="str">
        <f>CHOOSE(BikeData[[#This Row],[weekday]]+1,"Sunday","Monday","Tuesday","Wednesday","Thursday","Friday","Saturday")</f>
        <v>Monday</v>
      </c>
      <c r="W333" t="str">
        <f>CHOOSE(BikeData[[#This Row],[weathersit]],"Clear / Few Clouds","Mist / Cloudy","Light Rain / Snow","Heavy Rain / Snow")</f>
        <v>Clear / Few Clouds</v>
      </c>
    </row>
    <row r="334" spans="1:23" x14ac:dyDescent="0.3">
      <c r="A334">
        <v>333</v>
      </c>
      <c r="B334" s="1">
        <v>40876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>
        <v>0.45833299999999999</v>
      </c>
      <c r="K334">
        <v>0.45137500000000003</v>
      </c>
      <c r="L334">
        <v>0.83083300000000004</v>
      </c>
      <c r="M334">
        <v>0.25809199999999999</v>
      </c>
      <c r="N334">
        <v>96</v>
      </c>
      <c r="O334">
        <v>2818</v>
      </c>
      <c r="P334">
        <v>2914</v>
      </c>
      <c r="Q334" t="str">
        <f>IF(BikeData[[#This Row],[casual]]+BikeData[[#This Row],[registered]]=BikeData[[#This Row],[cnt]],"OK","Check")</f>
        <v>OK</v>
      </c>
      <c r="R334">
        <f>IF(BikeData[[#This Row],[yr]]=0,2011,2012)</f>
        <v>2011</v>
      </c>
      <c r="S334" t="str">
        <f>CHOOSE(BikeData[[#This Row],[season]],"Winter","Spring","Summer","Fall")</f>
        <v>Fall</v>
      </c>
      <c r="T334" t="str">
        <f>TEXT(DATE(2000,BikeData[[#This Row],[mnth]],1),"mmmm")</f>
        <v>November</v>
      </c>
      <c r="U334" t="str">
        <f>IF(BikeData[[#This Row],[workingday]]=1,"Working Day","Non-working Day")</f>
        <v>Working Day</v>
      </c>
      <c r="V334" t="str">
        <f>CHOOSE(BikeData[[#This Row],[weekday]]+1,"Sunday","Monday","Tuesday","Wednesday","Thursday","Friday","Saturday")</f>
        <v>Tuesday</v>
      </c>
      <c r="W334" t="str">
        <f>CHOOSE(BikeData[[#This Row],[weathersit]],"Clear / Few Clouds","Mist / Cloudy","Light Rain / Snow","Heavy Rain / Snow")</f>
        <v>Mist / Cloudy</v>
      </c>
    </row>
    <row r="335" spans="1:23" x14ac:dyDescent="0.3">
      <c r="A335">
        <v>334</v>
      </c>
      <c r="B335" s="1">
        <v>40877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>
        <v>0.32500000000000001</v>
      </c>
      <c r="K335">
        <v>0.31122100000000003</v>
      </c>
      <c r="L335">
        <v>0.61333300000000002</v>
      </c>
      <c r="M335">
        <v>0.27115800000000001</v>
      </c>
      <c r="N335">
        <v>188</v>
      </c>
      <c r="O335">
        <v>3425</v>
      </c>
      <c r="P335">
        <v>3613</v>
      </c>
      <c r="Q335" t="str">
        <f>IF(BikeData[[#This Row],[casual]]+BikeData[[#This Row],[registered]]=BikeData[[#This Row],[cnt]],"OK","Check")</f>
        <v>OK</v>
      </c>
      <c r="R335">
        <f>IF(BikeData[[#This Row],[yr]]=0,2011,2012)</f>
        <v>2011</v>
      </c>
      <c r="S335" t="str">
        <f>CHOOSE(BikeData[[#This Row],[season]],"Winter","Spring","Summer","Fall")</f>
        <v>Fall</v>
      </c>
      <c r="T335" t="str">
        <f>TEXT(DATE(2000,BikeData[[#This Row],[mnth]],1),"mmmm")</f>
        <v>November</v>
      </c>
      <c r="U335" t="str">
        <f>IF(BikeData[[#This Row],[workingday]]=1,"Working Day","Non-working Day")</f>
        <v>Working Day</v>
      </c>
      <c r="V335" t="str">
        <f>CHOOSE(BikeData[[#This Row],[weekday]]+1,"Sunday","Monday","Tuesday","Wednesday","Thursday","Friday","Saturday")</f>
        <v>Wednesday</v>
      </c>
      <c r="W335" t="str">
        <f>CHOOSE(BikeData[[#This Row],[weathersit]],"Clear / Few Clouds","Mist / Cloudy","Light Rain / Snow","Heavy Rain / Snow")</f>
        <v>Clear / Few Clouds</v>
      </c>
    </row>
    <row r="336" spans="1:23" x14ac:dyDescent="0.3">
      <c r="A336">
        <v>335</v>
      </c>
      <c r="B336" s="1">
        <v>40878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>
        <v>0.3125</v>
      </c>
      <c r="K336">
        <v>0.30555399999999999</v>
      </c>
      <c r="L336">
        <v>0.52458300000000002</v>
      </c>
      <c r="M336">
        <v>0.22015799999999999</v>
      </c>
      <c r="N336">
        <v>182</v>
      </c>
      <c r="O336">
        <v>3545</v>
      </c>
      <c r="P336">
        <v>3727</v>
      </c>
      <c r="Q336" t="str">
        <f>IF(BikeData[[#This Row],[casual]]+BikeData[[#This Row],[registered]]=BikeData[[#This Row],[cnt]],"OK","Check")</f>
        <v>OK</v>
      </c>
      <c r="R336">
        <f>IF(BikeData[[#This Row],[yr]]=0,2011,2012)</f>
        <v>2011</v>
      </c>
      <c r="S336" t="str">
        <f>CHOOSE(BikeData[[#This Row],[season]],"Winter","Spring","Summer","Fall")</f>
        <v>Fall</v>
      </c>
      <c r="T336" t="str">
        <f>TEXT(DATE(2000,BikeData[[#This Row],[mnth]],1),"mmmm")</f>
        <v>December</v>
      </c>
      <c r="U336" t="str">
        <f>IF(BikeData[[#This Row],[workingday]]=1,"Working Day","Non-working Day")</f>
        <v>Working Day</v>
      </c>
      <c r="V336" t="str">
        <f>CHOOSE(BikeData[[#This Row],[weekday]]+1,"Sunday","Monday","Tuesday","Wednesday","Thursday","Friday","Saturday")</f>
        <v>Thursday</v>
      </c>
      <c r="W336" t="str">
        <f>CHOOSE(BikeData[[#This Row],[weathersit]],"Clear / Few Clouds","Mist / Cloudy","Light Rain / Snow","Heavy Rain / Snow")</f>
        <v>Clear / Few Clouds</v>
      </c>
    </row>
    <row r="337" spans="1:23" x14ac:dyDescent="0.3">
      <c r="A337">
        <v>336</v>
      </c>
      <c r="B337" s="1">
        <v>40879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>
        <v>0.31416699999999997</v>
      </c>
      <c r="K337">
        <v>0.33143299999999998</v>
      </c>
      <c r="L337">
        <v>0.62583299999999997</v>
      </c>
      <c r="M337">
        <v>0.100754</v>
      </c>
      <c r="N337">
        <v>268</v>
      </c>
      <c r="O337">
        <v>3672</v>
      </c>
      <c r="P337">
        <v>3940</v>
      </c>
      <c r="Q337" t="str">
        <f>IF(BikeData[[#This Row],[casual]]+BikeData[[#This Row],[registered]]=BikeData[[#This Row],[cnt]],"OK","Check")</f>
        <v>OK</v>
      </c>
      <c r="R337">
        <f>IF(BikeData[[#This Row],[yr]]=0,2011,2012)</f>
        <v>2011</v>
      </c>
      <c r="S337" t="str">
        <f>CHOOSE(BikeData[[#This Row],[season]],"Winter","Spring","Summer","Fall")</f>
        <v>Fall</v>
      </c>
      <c r="T337" t="str">
        <f>TEXT(DATE(2000,BikeData[[#This Row],[mnth]],1),"mmmm")</f>
        <v>December</v>
      </c>
      <c r="U337" t="str">
        <f>IF(BikeData[[#This Row],[workingday]]=1,"Working Day","Non-working Day")</f>
        <v>Working Day</v>
      </c>
      <c r="V337" t="str">
        <f>CHOOSE(BikeData[[#This Row],[weekday]]+1,"Sunday","Monday","Tuesday","Wednesday","Thursday","Friday","Saturday")</f>
        <v>Friday</v>
      </c>
      <c r="W337" t="str">
        <f>CHOOSE(BikeData[[#This Row],[weathersit]],"Clear / Few Clouds","Mist / Cloudy","Light Rain / Snow","Heavy Rain / Snow")</f>
        <v>Clear / Few Clouds</v>
      </c>
    </row>
    <row r="338" spans="1:23" x14ac:dyDescent="0.3">
      <c r="A338">
        <v>337</v>
      </c>
      <c r="B338" s="1">
        <v>40880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>
        <v>0.29916700000000002</v>
      </c>
      <c r="K338">
        <v>0.31060399999999999</v>
      </c>
      <c r="L338">
        <v>0.61291700000000005</v>
      </c>
      <c r="M338">
        <v>9.5783300000000002E-2</v>
      </c>
      <c r="N338">
        <v>706</v>
      </c>
      <c r="O338">
        <v>2908</v>
      </c>
      <c r="P338">
        <v>3614</v>
      </c>
      <c r="Q338" t="str">
        <f>IF(BikeData[[#This Row],[casual]]+BikeData[[#This Row],[registered]]=BikeData[[#This Row],[cnt]],"OK","Check")</f>
        <v>OK</v>
      </c>
      <c r="R338">
        <f>IF(BikeData[[#This Row],[yr]]=0,2011,2012)</f>
        <v>2011</v>
      </c>
      <c r="S338" t="str">
        <f>CHOOSE(BikeData[[#This Row],[season]],"Winter","Spring","Summer","Fall")</f>
        <v>Fall</v>
      </c>
      <c r="T338" t="str">
        <f>TEXT(DATE(2000,BikeData[[#This Row],[mnth]],1),"mmmm")</f>
        <v>December</v>
      </c>
      <c r="U338" t="str">
        <f>IF(BikeData[[#This Row],[workingday]]=1,"Working Day","Non-working Day")</f>
        <v>Non-working Day</v>
      </c>
      <c r="V338" t="str">
        <f>CHOOSE(BikeData[[#This Row],[weekday]]+1,"Sunday","Monday","Tuesday","Wednesday","Thursday","Friday","Saturday")</f>
        <v>Saturday</v>
      </c>
      <c r="W338" t="str">
        <f>CHOOSE(BikeData[[#This Row],[weathersit]],"Clear / Few Clouds","Mist / Cloudy","Light Rain / Snow","Heavy Rain / Snow")</f>
        <v>Clear / Few Clouds</v>
      </c>
    </row>
    <row r="339" spans="1:23" x14ac:dyDescent="0.3">
      <c r="A339">
        <v>338</v>
      </c>
      <c r="B339" s="1">
        <v>40881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>
        <v>0.33083299999999999</v>
      </c>
      <c r="K339">
        <v>0.34910000000000002</v>
      </c>
      <c r="L339">
        <v>0.77583299999999999</v>
      </c>
      <c r="M339">
        <v>8.39583E-2</v>
      </c>
      <c r="N339">
        <v>634</v>
      </c>
      <c r="O339">
        <v>2851</v>
      </c>
      <c r="P339">
        <v>3485</v>
      </c>
      <c r="Q339" t="str">
        <f>IF(BikeData[[#This Row],[casual]]+BikeData[[#This Row],[registered]]=BikeData[[#This Row],[cnt]],"OK","Check")</f>
        <v>OK</v>
      </c>
      <c r="R339">
        <f>IF(BikeData[[#This Row],[yr]]=0,2011,2012)</f>
        <v>2011</v>
      </c>
      <c r="S339" t="str">
        <f>CHOOSE(BikeData[[#This Row],[season]],"Winter","Spring","Summer","Fall")</f>
        <v>Fall</v>
      </c>
      <c r="T339" t="str">
        <f>TEXT(DATE(2000,BikeData[[#This Row],[mnth]],1),"mmmm")</f>
        <v>December</v>
      </c>
      <c r="U339" t="str">
        <f>IF(BikeData[[#This Row],[workingday]]=1,"Working Day","Non-working Day")</f>
        <v>Non-working Day</v>
      </c>
      <c r="V339" t="str">
        <f>CHOOSE(BikeData[[#This Row],[weekday]]+1,"Sunday","Monday","Tuesday","Wednesday","Thursday","Friday","Saturday")</f>
        <v>Sunday</v>
      </c>
      <c r="W339" t="str">
        <f>CHOOSE(BikeData[[#This Row],[weathersit]],"Clear / Few Clouds","Mist / Cloudy","Light Rain / Snow","Heavy Rain / Snow")</f>
        <v>Clear / Few Clouds</v>
      </c>
    </row>
    <row r="340" spans="1:23" x14ac:dyDescent="0.3">
      <c r="A340">
        <v>339</v>
      </c>
      <c r="B340" s="1">
        <v>40882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>
        <v>0.38583299999999998</v>
      </c>
      <c r="K340">
        <v>0.39392500000000003</v>
      </c>
      <c r="L340">
        <v>0.82708300000000001</v>
      </c>
      <c r="M340">
        <v>6.2208300000000001E-2</v>
      </c>
      <c r="N340">
        <v>233</v>
      </c>
      <c r="O340">
        <v>3578</v>
      </c>
      <c r="P340">
        <v>3811</v>
      </c>
      <c r="Q340" t="str">
        <f>IF(BikeData[[#This Row],[casual]]+BikeData[[#This Row],[registered]]=BikeData[[#This Row],[cnt]],"OK","Check")</f>
        <v>OK</v>
      </c>
      <c r="R340">
        <f>IF(BikeData[[#This Row],[yr]]=0,2011,2012)</f>
        <v>2011</v>
      </c>
      <c r="S340" t="str">
        <f>CHOOSE(BikeData[[#This Row],[season]],"Winter","Spring","Summer","Fall")</f>
        <v>Fall</v>
      </c>
      <c r="T340" t="str">
        <f>TEXT(DATE(2000,BikeData[[#This Row],[mnth]],1),"mmmm")</f>
        <v>December</v>
      </c>
      <c r="U340" t="str">
        <f>IF(BikeData[[#This Row],[workingday]]=1,"Working Day","Non-working Day")</f>
        <v>Working Day</v>
      </c>
      <c r="V340" t="str">
        <f>CHOOSE(BikeData[[#This Row],[weekday]]+1,"Sunday","Monday","Tuesday","Wednesday","Thursday","Friday","Saturday")</f>
        <v>Monday</v>
      </c>
      <c r="W340" t="str">
        <f>CHOOSE(BikeData[[#This Row],[weathersit]],"Clear / Few Clouds","Mist / Cloudy","Light Rain / Snow","Heavy Rain / Snow")</f>
        <v>Mist / Cloudy</v>
      </c>
    </row>
    <row r="341" spans="1:23" x14ac:dyDescent="0.3">
      <c r="A341">
        <v>340</v>
      </c>
      <c r="B341" s="1">
        <v>40883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>
        <v>0.46250000000000002</v>
      </c>
      <c r="K341">
        <v>0.45639999999999997</v>
      </c>
      <c r="L341">
        <v>0.94958299999999995</v>
      </c>
      <c r="M341">
        <v>0.23258300000000001</v>
      </c>
      <c r="N341">
        <v>126</v>
      </c>
      <c r="O341">
        <v>2468</v>
      </c>
      <c r="P341">
        <v>2594</v>
      </c>
      <c r="Q341" t="str">
        <f>IF(BikeData[[#This Row],[casual]]+BikeData[[#This Row],[registered]]=BikeData[[#This Row],[cnt]],"OK","Check")</f>
        <v>OK</v>
      </c>
      <c r="R341">
        <f>IF(BikeData[[#This Row],[yr]]=0,2011,2012)</f>
        <v>2011</v>
      </c>
      <c r="S341" t="str">
        <f>CHOOSE(BikeData[[#This Row],[season]],"Winter","Spring","Summer","Fall")</f>
        <v>Fall</v>
      </c>
      <c r="T341" t="str">
        <f>TEXT(DATE(2000,BikeData[[#This Row],[mnth]],1),"mmmm")</f>
        <v>December</v>
      </c>
      <c r="U341" t="str">
        <f>IF(BikeData[[#This Row],[workingday]]=1,"Working Day","Non-working Day")</f>
        <v>Working Day</v>
      </c>
      <c r="V341" t="str">
        <f>CHOOSE(BikeData[[#This Row],[weekday]]+1,"Sunday","Monday","Tuesday","Wednesday","Thursday","Friday","Saturday")</f>
        <v>Tuesday</v>
      </c>
      <c r="W341" t="str">
        <f>CHOOSE(BikeData[[#This Row],[weathersit]],"Clear / Few Clouds","Mist / Cloudy","Light Rain / Snow","Heavy Rain / Snow")</f>
        <v>Light Rain / Snow</v>
      </c>
    </row>
    <row r="342" spans="1:23" x14ac:dyDescent="0.3">
      <c r="A342">
        <v>341</v>
      </c>
      <c r="B342" s="1">
        <v>40884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>
        <v>0.41</v>
      </c>
      <c r="K342">
        <v>0.40024599999999999</v>
      </c>
      <c r="L342">
        <v>0.97041699999999997</v>
      </c>
      <c r="M342">
        <v>0.26617499999999999</v>
      </c>
      <c r="N342">
        <v>50</v>
      </c>
      <c r="O342">
        <v>655</v>
      </c>
      <c r="P342">
        <v>705</v>
      </c>
      <c r="Q342" t="str">
        <f>IF(BikeData[[#This Row],[casual]]+BikeData[[#This Row],[registered]]=BikeData[[#This Row],[cnt]],"OK","Check")</f>
        <v>OK</v>
      </c>
      <c r="R342">
        <f>IF(BikeData[[#This Row],[yr]]=0,2011,2012)</f>
        <v>2011</v>
      </c>
      <c r="S342" t="str">
        <f>CHOOSE(BikeData[[#This Row],[season]],"Winter","Spring","Summer","Fall")</f>
        <v>Fall</v>
      </c>
      <c r="T342" t="str">
        <f>TEXT(DATE(2000,BikeData[[#This Row],[mnth]],1),"mmmm")</f>
        <v>December</v>
      </c>
      <c r="U342" t="str">
        <f>IF(BikeData[[#This Row],[workingday]]=1,"Working Day","Non-working Day")</f>
        <v>Working Day</v>
      </c>
      <c r="V342" t="str">
        <f>CHOOSE(BikeData[[#This Row],[weekday]]+1,"Sunday","Monday","Tuesday","Wednesday","Thursday","Friday","Saturday")</f>
        <v>Wednesday</v>
      </c>
      <c r="W342" t="str">
        <f>CHOOSE(BikeData[[#This Row],[weathersit]],"Clear / Few Clouds","Mist / Cloudy","Light Rain / Snow","Heavy Rain / Snow")</f>
        <v>Light Rain / Snow</v>
      </c>
    </row>
    <row r="343" spans="1:23" x14ac:dyDescent="0.3">
      <c r="A343">
        <v>342</v>
      </c>
      <c r="B343" s="1">
        <v>40885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>
        <v>0.26583299999999999</v>
      </c>
      <c r="K343">
        <v>0.256938</v>
      </c>
      <c r="L343">
        <v>0.57999999999999996</v>
      </c>
      <c r="M343">
        <v>0.24005799999999999</v>
      </c>
      <c r="N343">
        <v>150</v>
      </c>
      <c r="O343">
        <v>3172</v>
      </c>
      <c r="P343">
        <v>3322</v>
      </c>
      <c r="Q343" t="str">
        <f>IF(BikeData[[#This Row],[casual]]+BikeData[[#This Row],[registered]]=BikeData[[#This Row],[cnt]],"OK","Check")</f>
        <v>OK</v>
      </c>
      <c r="R343">
        <f>IF(BikeData[[#This Row],[yr]]=0,2011,2012)</f>
        <v>2011</v>
      </c>
      <c r="S343" t="str">
        <f>CHOOSE(BikeData[[#This Row],[season]],"Winter","Spring","Summer","Fall")</f>
        <v>Fall</v>
      </c>
      <c r="T343" t="str">
        <f>TEXT(DATE(2000,BikeData[[#This Row],[mnth]],1),"mmmm")</f>
        <v>December</v>
      </c>
      <c r="U343" t="str">
        <f>IF(BikeData[[#This Row],[workingday]]=1,"Working Day","Non-working Day")</f>
        <v>Working Day</v>
      </c>
      <c r="V343" t="str">
        <f>CHOOSE(BikeData[[#This Row],[weekday]]+1,"Sunday","Monday","Tuesday","Wednesday","Thursday","Friday","Saturday")</f>
        <v>Thursday</v>
      </c>
      <c r="W343" t="str">
        <f>CHOOSE(BikeData[[#This Row],[weathersit]],"Clear / Few Clouds","Mist / Cloudy","Light Rain / Snow","Heavy Rain / Snow")</f>
        <v>Clear / Few Clouds</v>
      </c>
    </row>
    <row r="344" spans="1:23" x14ac:dyDescent="0.3">
      <c r="A344">
        <v>343</v>
      </c>
      <c r="B344" s="1">
        <v>40886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>
        <v>0.29083300000000001</v>
      </c>
      <c r="K344">
        <v>0.31754199999999999</v>
      </c>
      <c r="L344">
        <v>0.69583300000000003</v>
      </c>
      <c r="M344">
        <v>8.2716700000000004E-2</v>
      </c>
      <c r="N344">
        <v>261</v>
      </c>
      <c r="O344">
        <v>3359</v>
      </c>
      <c r="P344">
        <v>3620</v>
      </c>
      <c r="Q344" t="str">
        <f>IF(BikeData[[#This Row],[casual]]+BikeData[[#This Row],[registered]]=BikeData[[#This Row],[cnt]],"OK","Check")</f>
        <v>OK</v>
      </c>
      <c r="R344">
        <f>IF(BikeData[[#This Row],[yr]]=0,2011,2012)</f>
        <v>2011</v>
      </c>
      <c r="S344" t="str">
        <f>CHOOSE(BikeData[[#This Row],[season]],"Winter","Spring","Summer","Fall")</f>
        <v>Fall</v>
      </c>
      <c r="T344" t="str">
        <f>TEXT(DATE(2000,BikeData[[#This Row],[mnth]],1),"mmmm")</f>
        <v>December</v>
      </c>
      <c r="U344" t="str">
        <f>IF(BikeData[[#This Row],[workingday]]=1,"Working Day","Non-working Day")</f>
        <v>Working Day</v>
      </c>
      <c r="V344" t="str">
        <f>CHOOSE(BikeData[[#This Row],[weekday]]+1,"Sunday","Monday","Tuesday","Wednesday","Thursday","Friday","Saturday")</f>
        <v>Friday</v>
      </c>
      <c r="W344" t="str">
        <f>CHOOSE(BikeData[[#This Row],[weathersit]],"Clear / Few Clouds","Mist / Cloudy","Light Rain / Snow","Heavy Rain / Snow")</f>
        <v>Clear / Few Clouds</v>
      </c>
    </row>
    <row r="345" spans="1:23" x14ac:dyDescent="0.3">
      <c r="A345">
        <v>344</v>
      </c>
      <c r="B345" s="1">
        <v>40887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>
        <v>0.27500000000000002</v>
      </c>
      <c r="K345">
        <v>0.26641199999999998</v>
      </c>
      <c r="L345">
        <v>0.50749999999999995</v>
      </c>
      <c r="M345">
        <v>0.23322100000000001</v>
      </c>
      <c r="N345">
        <v>502</v>
      </c>
      <c r="O345">
        <v>2688</v>
      </c>
      <c r="P345">
        <v>3190</v>
      </c>
      <c r="Q345" t="str">
        <f>IF(BikeData[[#This Row],[casual]]+BikeData[[#This Row],[registered]]=BikeData[[#This Row],[cnt]],"OK","Check")</f>
        <v>OK</v>
      </c>
      <c r="R345">
        <f>IF(BikeData[[#This Row],[yr]]=0,2011,2012)</f>
        <v>2011</v>
      </c>
      <c r="S345" t="str">
        <f>CHOOSE(BikeData[[#This Row],[season]],"Winter","Spring","Summer","Fall")</f>
        <v>Fall</v>
      </c>
      <c r="T345" t="str">
        <f>TEXT(DATE(2000,BikeData[[#This Row],[mnth]],1),"mmmm")</f>
        <v>December</v>
      </c>
      <c r="U345" t="str">
        <f>IF(BikeData[[#This Row],[workingday]]=1,"Working Day","Non-working Day")</f>
        <v>Non-working Day</v>
      </c>
      <c r="V345" t="str">
        <f>CHOOSE(BikeData[[#This Row],[weekday]]+1,"Sunday","Monday","Tuesday","Wednesday","Thursday","Friday","Saturday")</f>
        <v>Saturday</v>
      </c>
      <c r="W345" t="str">
        <f>CHOOSE(BikeData[[#This Row],[weathersit]],"Clear / Few Clouds","Mist / Cloudy","Light Rain / Snow","Heavy Rain / Snow")</f>
        <v>Clear / Few Clouds</v>
      </c>
    </row>
    <row r="346" spans="1:23" x14ac:dyDescent="0.3">
      <c r="A346">
        <v>345</v>
      </c>
      <c r="B346" s="1">
        <v>40888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>
        <v>0.220833</v>
      </c>
      <c r="K346">
        <v>0.25315399999999999</v>
      </c>
      <c r="L346">
        <v>0.49</v>
      </c>
      <c r="M346">
        <v>6.6541699999999995E-2</v>
      </c>
      <c r="N346">
        <v>377</v>
      </c>
      <c r="O346">
        <v>2366</v>
      </c>
      <c r="P346">
        <v>2743</v>
      </c>
      <c r="Q346" t="str">
        <f>IF(BikeData[[#This Row],[casual]]+BikeData[[#This Row],[registered]]=BikeData[[#This Row],[cnt]],"OK","Check")</f>
        <v>OK</v>
      </c>
      <c r="R346">
        <f>IF(BikeData[[#This Row],[yr]]=0,2011,2012)</f>
        <v>2011</v>
      </c>
      <c r="S346" t="str">
        <f>CHOOSE(BikeData[[#This Row],[season]],"Winter","Spring","Summer","Fall")</f>
        <v>Fall</v>
      </c>
      <c r="T346" t="str">
        <f>TEXT(DATE(2000,BikeData[[#This Row],[mnth]],1),"mmmm")</f>
        <v>December</v>
      </c>
      <c r="U346" t="str">
        <f>IF(BikeData[[#This Row],[workingday]]=1,"Working Day","Non-working Day")</f>
        <v>Non-working Day</v>
      </c>
      <c r="V346" t="str">
        <f>CHOOSE(BikeData[[#This Row],[weekday]]+1,"Sunday","Monday","Tuesday","Wednesday","Thursday","Friday","Saturday")</f>
        <v>Sunday</v>
      </c>
      <c r="W346" t="str">
        <f>CHOOSE(BikeData[[#This Row],[weathersit]],"Clear / Few Clouds","Mist / Cloudy","Light Rain / Snow","Heavy Rain / Snow")</f>
        <v>Clear / Few Clouds</v>
      </c>
    </row>
    <row r="347" spans="1:23" x14ac:dyDescent="0.3">
      <c r="A347">
        <v>346</v>
      </c>
      <c r="B347" s="1">
        <v>40889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>
        <v>0.23833299999999999</v>
      </c>
      <c r="K347">
        <v>0.27019599999999999</v>
      </c>
      <c r="L347">
        <v>0.67083300000000001</v>
      </c>
      <c r="M347">
        <v>6.3450000000000006E-2</v>
      </c>
      <c r="N347">
        <v>143</v>
      </c>
      <c r="O347">
        <v>3167</v>
      </c>
      <c r="P347">
        <v>3310</v>
      </c>
      <c r="Q347" t="str">
        <f>IF(BikeData[[#This Row],[casual]]+BikeData[[#This Row],[registered]]=BikeData[[#This Row],[cnt]],"OK","Check")</f>
        <v>OK</v>
      </c>
      <c r="R347">
        <f>IF(BikeData[[#This Row],[yr]]=0,2011,2012)</f>
        <v>2011</v>
      </c>
      <c r="S347" t="str">
        <f>CHOOSE(BikeData[[#This Row],[season]],"Winter","Spring","Summer","Fall")</f>
        <v>Fall</v>
      </c>
      <c r="T347" t="str">
        <f>TEXT(DATE(2000,BikeData[[#This Row],[mnth]],1),"mmmm")</f>
        <v>December</v>
      </c>
      <c r="U347" t="str">
        <f>IF(BikeData[[#This Row],[workingday]]=1,"Working Day","Non-working Day")</f>
        <v>Working Day</v>
      </c>
      <c r="V347" t="str">
        <f>CHOOSE(BikeData[[#This Row],[weekday]]+1,"Sunday","Monday","Tuesday","Wednesday","Thursday","Friday","Saturday")</f>
        <v>Monday</v>
      </c>
      <c r="W347" t="str">
        <f>CHOOSE(BikeData[[#This Row],[weathersit]],"Clear / Few Clouds","Mist / Cloudy","Light Rain / Snow","Heavy Rain / Snow")</f>
        <v>Clear / Few Clouds</v>
      </c>
    </row>
    <row r="348" spans="1:23" x14ac:dyDescent="0.3">
      <c r="A348">
        <v>347</v>
      </c>
      <c r="B348" s="1">
        <v>40890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>
        <v>0.28249999999999997</v>
      </c>
      <c r="K348">
        <v>0.30113800000000002</v>
      </c>
      <c r="L348">
        <v>0.59</v>
      </c>
      <c r="M348">
        <v>0.14055000000000001</v>
      </c>
      <c r="N348">
        <v>155</v>
      </c>
      <c r="O348">
        <v>3368</v>
      </c>
      <c r="P348">
        <v>3523</v>
      </c>
      <c r="Q348" t="str">
        <f>IF(BikeData[[#This Row],[casual]]+BikeData[[#This Row],[registered]]=BikeData[[#This Row],[cnt]],"OK","Check")</f>
        <v>OK</v>
      </c>
      <c r="R348">
        <f>IF(BikeData[[#This Row],[yr]]=0,2011,2012)</f>
        <v>2011</v>
      </c>
      <c r="S348" t="str">
        <f>CHOOSE(BikeData[[#This Row],[season]],"Winter","Spring","Summer","Fall")</f>
        <v>Fall</v>
      </c>
      <c r="T348" t="str">
        <f>TEXT(DATE(2000,BikeData[[#This Row],[mnth]],1),"mmmm")</f>
        <v>December</v>
      </c>
      <c r="U348" t="str">
        <f>IF(BikeData[[#This Row],[workingday]]=1,"Working Day","Non-working Day")</f>
        <v>Working Day</v>
      </c>
      <c r="V348" t="str">
        <f>CHOOSE(BikeData[[#This Row],[weekday]]+1,"Sunday","Monday","Tuesday","Wednesday","Thursday","Friday","Saturday")</f>
        <v>Tuesday</v>
      </c>
      <c r="W348" t="str">
        <f>CHOOSE(BikeData[[#This Row],[weathersit]],"Clear / Few Clouds","Mist / Cloudy","Light Rain / Snow","Heavy Rain / Snow")</f>
        <v>Clear / Few Clouds</v>
      </c>
    </row>
    <row r="349" spans="1:23" x14ac:dyDescent="0.3">
      <c r="A349">
        <v>348</v>
      </c>
      <c r="B349" s="1">
        <v>40891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>
        <v>0.3175</v>
      </c>
      <c r="K349">
        <v>0.338362</v>
      </c>
      <c r="L349">
        <v>0.66374999999999995</v>
      </c>
      <c r="M349">
        <v>6.09583E-2</v>
      </c>
      <c r="N349">
        <v>178</v>
      </c>
      <c r="O349">
        <v>3562</v>
      </c>
      <c r="P349">
        <v>3740</v>
      </c>
      <c r="Q349" t="str">
        <f>IF(BikeData[[#This Row],[casual]]+BikeData[[#This Row],[registered]]=BikeData[[#This Row],[cnt]],"OK","Check")</f>
        <v>OK</v>
      </c>
      <c r="R349">
        <f>IF(BikeData[[#This Row],[yr]]=0,2011,2012)</f>
        <v>2011</v>
      </c>
      <c r="S349" t="str">
        <f>CHOOSE(BikeData[[#This Row],[season]],"Winter","Spring","Summer","Fall")</f>
        <v>Fall</v>
      </c>
      <c r="T349" t="str">
        <f>TEXT(DATE(2000,BikeData[[#This Row],[mnth]],1),"mmmm")</f>
        <v>December</v>
      </c>
      <c r="U349" t="str">
        <f>IF(BikeData[[#This Row],[workingday]]=1,"Working Day","Non-working Day")</f>
        <v>Working Day</v>
      </c>
      <c r="V349" t="str">
        <f>CHOOSE(BikeData[[#This Row],[weekday]]+1,"Sunday","Monday","Tuesday","Wednesday","Thursday","Friday","Saturday")</f>
        <v>Wednesday</v>
      </c>
      <c r="W349" t="str">
        <f>CHOOSE(BikeData[[#This Row],[weathersit]],"Clear / Few Clouds","Mist / Cloudy","Light Rain / Snow","Heavy Rain / Snow")</f>
        <v>Mist / Cloudy</v>
      </c>
    </row>
    <row r="350" spans="1:23" x14ac:dyDescent="0.3">
      <c r="A350">
        <v>349</v>
      </c>
      <c r="B350" s="1">
        <v>40892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>
        <v>0.42249999999999999</v>
      </c>
      <c r="K350">
        <v>0.41223700000000002</v>
      </c>
      <c r="L350">
        <v>0.63416700000000004</v>
      </c>
      <c r="M350">
        <v>0.268042</v>
      </c>
      <c r="N350">
        <v>181</v>
      </c>
      <c r="O350">
        <v>3528</v>
      </c>
      <c r="P350">
        <v>3709</v>
      </c>
      <c r="Q350" t="str">
        <f>IF(BikeData[[#This Row],[casual]]+BikeData[[#This Row],[registered]]=BikeData[[#This Row],[cnt]],"OK","Check")</f>
        <v>OK</v>
      </c>
      <c r="R350">
        <f>IF(BikeData[[#This Row],[yr]]=0,2011,2012)</f>
        <v>2011</v>
      </c>
      <c r="S350" t="str">
        <f>CHOOSE(BikeData[[#This Row],[season]],"Winter","Spring","Summer","Fall")</f>
        <v>Fall</v>
      </c>
      <c r="T350" t="str">
        <f>TEXT(DATE(2000,BikeData[[#This Row],[mnth]],1),"mmmm")</f>
        <v>December</v>
      </c>
      <c r="U350" t="str">
        <f>IF(BikeData[[#This Row],[workingday]]=1,"Working Day","Non-working Day")</f>
        <v>Working Day</v>
      </c>
      <c r="V350" t="str">
        <f>CHOOSE(BikeData[[#This Row],[weekday]]+1,"Sunday","Monday","Tuesday","Wednesday","Thursday","Friday","Saturday")</f>
        <v>Thursday</v>
      </c>
      <c r="W350" t="str">
        <f>CHOOSE(BikeData[[#This Row],[weathersit]],"Clear / Few Clouds","Mist / Cloudy","Light Rain / Snow","Heavy Rain / Snow")</f>
        <v>Mist / Cloudy</v>
      </c>
    </row>
    <row r="351" spans="1:23" x14ac:dyDescent="0.3">
      <c r="A351">
        <v>350</v>
      </c>
      <c r="B351" s="1">
        <v>40893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>
        <v>0.375</v>
      </c>
      <c r="K351">
        <v>0.35982500000000001</v>
      </c>
      <c r="L351">
        <v>0.500417</v>
      </c>
      <c r="M351">
        <v>0.260575</v>
      </c>
      <c r="N351">
        <v>178</v>
      </c>
      <c r="O351">
        <v>3399</v>
      </c>
      <c r="P351">
        <v>3577</v>
      </c>
      <c r="Q351" t="str">
        <f>IF(BikeData[[#This Row],[casual]]+BikeData[[#This Row],[registered]]=BikeData[[#This Row],[cnt]],"OK","Check")</f>
        <v>OK</v>
      </c>
      <c r="R351">
        <f>IF(BikeData[[#This Row],[yr]]=0,2011,2012)</f>
        <v>2011</v>
      </c>
      <c r="S351" t="str">
        <f>CHOOSE(BikeData[[#This Row],[season]],"Winter","Spring","Summer","Fall")</f>
        <v>Fall</v>
      </c>
      <c r="T351" t="str">
        <f>TEXT(DATE(2000,BikeData[[#This Row],[mnth]],1),"mmmm")</f>
        <v>December</v>
      </c>
      <c r="U351" t="str">
        <f>IF(BikeData[[#This Row],[workingday]]=1,"Working Day","Non-working Day")</f>
        <v>Working Day</v>
      </c>
      <c r="V351" t="str">
        <f>CHOOSE(BikeData[[#This Row],[weekday]]+1,"Sunday","Monday","Tuesday","Wednesday","Thursday","Friday","Saturday")</f>
        <v>Friday</v>
      </c>
      <c r="W351" t="str">
        <f>CHOOSE(BikeData[[#This Row],[weathersit]],"Clear / Few Clouds","Mist / Cloudy","Light Rain / Snow","Heavy Rain / Snow")</f>
        <v>Mist / Cloudy</v>
      </c>
    </row>
    <row r="352" spans="1:23" x14ac:dyDescent="0.3">
      <c r="A352">
        <v>351</v>
      </c>
      <c r="B352" s="1">
        <v>40894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>
        <v>0.25833299999999998</v>
      </c>
      <c r="K352">
        <v>0.24937100000000001</v>
      </c>
      <c r="L352">
        <v>0.56083300000000003</v>
      </c>
      <c r="M352">
        <v>0.24316699999999999</v>
      </c>
      <c r="N352">
        <v>275</v>
      </c>
      <c r="O352">
        <v>2464</v>
      </c>
      <c r="P352">
        <v>2739</v>
      </c>
      <c r="Q352" t="str">
        <f>IF(BikeData[[#This Row],[casual]]+BikeData[[#This Row],[registered]]=BikeData[[#This Row],[cnt]],"OK","Check")</f>
        <v>OK</v>
      </c>
      <c r="R352">
        <f>IF(BikeData[[#This Row],[yr]]=0,2011,2012)</f>
        <v>2011</v>
      </c>
      <c r="S352" t="str">
        <f>CHOOSE(BikeData[[#This Row],[season]],"Winter","Spring","Summer","Fall")</f>
        <v>Fall</v>
      </c>
      <c r="T352" t="str">
        <f>TEXT(DATE(2000,BikeData[[#This Row],[mnth]],1),"mmmm")</f>
        <v>December</v>
      </c>
      <c r="U352" t="str">
        <f>IF(BikeData[[#This Row],[workingday]]=1,"Working Day","Non-working Day")</f>
        <v>Non-working Day</v>
      </c>
      <c r="V352" t="str">
        <f>CHOOSE(BikeData[[#This Row],[weekday]]+1,"Sunday","Monday","Tuesday","Wednesday","Thursday","Friday","Saturday")</f>
        <v>Saturday</v>
      </c>
      <c r="W352" t="str">
        <f>CHOOSE(BikeData[[#This Row],[weathersit]],"Clear / Few Clouds","Mist / Cloudy","Light Rain / Snow","Heavy Rain / Snow")</f>
        <v>Mist / Cloudy</v>
      </c>
    </row>
    <row r="353" spans="1:23" x14ac:dyDescent="0.3">
      <c r="A353">
        <v>352</v>
      </c>
      <c r="B353" s="1">
        <v>40895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>
        <v>0.23833299999999999</v>
      </c>
      <c r="K353">
        <v>0.24557899999999999</v>
      </c>
      <c r="L353">
        <v>0.58625000000000005</v>
      </c>
      <c r="M353">
        <v>0.16977900000000001</v>
      </c>
      <c r="N353">
        <v>220</v>
      </c>
      <c r="O353">
        <v>2211</v>
      </c>
      <c r="P353">
        <v>2431</v>
      </c>
      <c r="Q353" t="str">
        <f>IF(BikeData[[#This Row],[casual]]+BikeData[[#This Row],[registered]]=BikeData[[#This Row],[cnt]],"OK","Check")</f>
        <v>OK</v>
      </c>
      <c r="R353">
        <f>IF(BikeData[[#This Row],[yr]]=0,2011,2012)</f>
        <v>2011</v>
      </c>
      <c r="S353" t="str">
        <f>CHOOSE(BikeData[[#This Row],[season]],"Winter","Spring","Summer","Fall")</f>
        <v>Fall</v>
      </c>
      <c r="T353" t="str">
        <f>TEXT(DATE(2000,BikeData[[#This Row],[mnth]],1),"mmmm")</f>
        <v>December</v>
      </c>
      <c r="U353" t="str">
        <f>IF(BikeData[[#This Row],[workingday]]=1,"Working Day","Non-working Day")</f>
        <v>Non-working Day</v>
      </c>
      <c r="V353" t="str">
        <f>CHOOSE(BikeData[[#This Row],[weekday]]+1,"Sunday","Monday","Tuesday","Wednesday","Thursday","Friday","Saturday")</f>
        <v>Sunday</v>
      </c>
      <c r="W353" t="str">
        <f>CHOOSE(BikeData[[#This Row],[weathersit]],"Clear / Few Clouds","Mist / Cloudy","Light Rain / Snow","Heavy Rain / Snow")</f>
        <v>Clear / Few Clouds</v>
      </c>
    </row>
    <row r="354" spans="1:23" x14ac:dyDescent="0.3">
      <c r="A354">
        <v>353</v>
      </c>
      <c r="B354" s="1">
        <v>40896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>
        <v>0.276667</v>
      </c>
      <c r="K354">
        <v>0.28093299999999999</v>
      </c>
      <c r="L354">
        <v>0.63749999999999996</v>
      </c>
      <c r="M354">
        <v>0.17289599999999999</v>
      </c>
      <c r="N354">
        <v>260</v>
      </c>
      <c r="O354">
        <v>3143</v>
      </c>
      <c r="P354">
        <v>3403</v>
      </c>
      <c r="Q354" t="str">
        <f>IF(BikeData[[#This Row],[casual]]+BikeData[[#This Row],[registered]]=BikeData[[#This Row],[cnt]],"OK","Check")</f>
        <v>OK</v>
      </c>
      <c r="R354">
        <f>IF(BikeData[[#This Row],[yr]]=0,2011,2012)</f>
        <v>2011</v>
      </c>
      <c r="S354" t="str">
        <f>CHOOSE(BikeData[[#This Row],[season]],"Winter","Spring","Summer","Fall")</f>
        <v>Fall</v>
      </c>
      <c r="T354" t="str">
        <f>TEXT(DATE(2000,BikeData[[#This Row],[mnth]],1),"mmmm")</f>
        <v>December</v>
      </c>
      <c r="U354" t="str">
        <f>IF(BikeData[[#This Row],[workingday]]=1,"Working Day","Non-working Day")</f>
        <v>Working Day</v>
      </c>
      <c r="V354" t="str">
        <f>CHOOSE(BikeData[[#This Row],[weekday]]+1,"Sunday","Monday","Tuesday","Wednesday","Thursday","Friday","Saturday")</f>
        <v>Monday</v>
      </c>
      <c r="W354" t="str">
        <f>CHOOSE(BikeData[[#This Row],[weathersit]],"Clear / Few Clouds","Mist / Cloudy","Light Rain / Snow","Heavy Rain / Snow")</f>
        <v>Clear / Few Clouds</v>
      </c>
    </row>
    <row r="355" spans="1:23" x14ac:dyDescent="0.3">
      <c r="A355">
        <v>354</v>
      </c>
      <c r="B355" s="1">
        <v>40897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>
        <v>0.38583299999999998</v>
      </c>
      <c r="K355">
        <v>0.39645399999999997</v>
      </c>
      <c r="L355">
        <v>0.59541699999999997</v>
      </c>
      <c r="M355">
        <v>6.1570800000000002E-2</v>
      </c>
      <c r="N355">
        <v>216</v>
      </c>
      <c r="O355">
        <v>3534</v>
      </c>
      <c r="P355">
        <v>3750</v>
      </c>
      <c r="Q355" t="str">
        <f>IF(BikeData[[#This Row],[casual]]+BikeData[[#This Row],[registered]]=BikeData[[#This Row],[cnt]],"OK","Check")</f>
        <v>OK</v>
      </c>
      <c r="R355">
        <f>IF(BikeData[[#This Row],[yr]]=0,2011,2012)</f>
        <v>2011</v>
      </c>
      <c r="S355" t="str">
        <f>CHOOSE(BikeData[[#This Row],[season]],"Winter","Spring","Summer","Fall")</f>
        <v>Fall</v>
      </c>
      <c r="T355" t="str">
        <f>TEXT(DATE(2000,BikeData[[#This Row],[mnth]],1),"mmmm")</f>
        <v>December</v>
      </c>
      <c r="U355" t="str">
        <f>IF(BikeData[[#This Row],[workingday]]=1,"Working Day","Non-working Day")</f>
        <v>Working Day</v>
      </c>
      <c r="V355" t="str">
        <f>CHOOSE(BikeData[[#This Row],[weekday]]+1,"Sunday","Monday","Tuesday","Wednesday","Thursday","Friday","Saturday")</f>
        <v>Tuesday</v>
      </c>
      <c r="W355" t="str">
        <f>CHOOSE(BikeData[[#This Row],[weathersit]],"Clear / Few Clouds","Mist / Cloudy","Light Rain / Snow","Heavy Rain / Snow")</f>
        <v>Mist / Cloudy</v>
      </c>
    </row>
    <row r="356" spans="1:23" x14ac:dyDescent="0.3">
      <c r="A356">
        <v>355</v>
      </c>
      <c r="B356" s="1">
        <v>40898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>
        <v>0.42833300000000002</v>
      </c>
      <c r="K356">
        <v>0.42801699999999998</v>
      </c>
      <c r="L356">
        <v>0.85833300000000001</v>
      </c>
      <c r="M356">
        <v>0.22140000000000001</v>
      </c>
      <c r="N356">
        <v>107</v>
      </c>
      <c r="O356">
        <v>2553</v>
      </c>
      <c r="P356">
        <v>2660</v>
      </c>
      <c r="Q356" t="str">
        <f>IF(BikeData[[#This Row],[casual]]+BikeData[[#This Row],[registered]]=BikeData[[#This Row],[cnt]],"OK","Check")</f>
        <v>OK</v>
      </c>
      <c r="R356">
        <f>IF(BikeData[[#This Row],[yr]]=0,2011,2012)</f>
        <v>2011</v>
      </c>
      <c r="S356" t="str">
        <f>CHOOSE(BikeData[[#This Row],[season]],"Winter","Spring","Summer","Fall")</f>
        <v>Winter</v>
      </c>
      <c r="T356" t="str">
        <f>TEXT(DATE(2000,BikeData[[#This Row],[mnth]],1),"mmmm")</f>
        <v>December</v>
      </c>
      <c r="U356" t="str">
        <f>IF(BikeData[[#This Row],[workingday]]=1,"Working Day","Non-working Day")</f>
        <v>Working Day</v>
      </c>
      <c r="V356" t="str">
        <f>CHOOSE(BikeData[[#This Row],[weekday]]+1,"Sunday","Monday","Tuesday","Wednesday","Thursday","Friday","Saturday")</f>
        <v>Wednesday</v>
      </c>
      <c r="W356" t="str">
        <f>CHOOSE(BikeData[[#This Row],[weathersit]],"Clear / Few Clouds","Mist / Cloudy","Light Rain / Snow","Heavy Rain / Snow")</f>
        <v>Mist / Cloudy</v>
      </c>
    </row>
    <row r="357" spans="1:23" x14ac:dyDescent="0.3">
      <c r="A357">
        <v>356</v>
      </c>
      <c r="B357" s="1">
        <v>40899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>
        <v>0.42333300000000001</v>
      </c>
      <c r="K357">
        <v>0.42612100000000003</v>
      </c>
      <c r="L357">
        <v>0.75749999999999995</v>
      </c>
      <c r="M357">
        <v>4.7274999999999998E-2</v>
      </c>
      <c r="N357">
        <v>227</v>
      </c>
      <c r="O357">
        <v>2841</v>
      </c>
      <c r="P357">
        <v>3068</v>
      </c>
      <c r="Q357" t="str">
        <f>IF(BikeData[[#This Row],[casual]]+BikeData[[#This Row],[registered]]=BikeData[[#This Row],[cnt]],"OK","Check")</f>
        <v>OK</v>
      </c>
      <c r="R357">
        <f>IF(BikeData[[#This Row],[yr]]=0,2011,2012)</f>
        <v>2011</v>
      </c>
      <c r="S357" t="str">
        <f>CHOOSE(BikeData[[#This Row],[season]],"Winter","Spring","Summer","Fall")</f>
        <v>Winter</v>
      </c>
      <c r="T357" t="str">
        <f>TEXT(DATE(2000,BikeData[[#This Row],[mnth]],1),"mmmm")</f>
        <v>December</v>
      </c>
      <c r="U357" t="str">
        <f>IF(BikeData[[#This Row],[workingday]]=1,"Working Day","Non-working Day")</f>
        <v>Working Day</v>
      </c>
      <c r="V357" t="str">
        <f>CHOOSE(BikeData[[#This Row],[weekday]]+1,"Sunday","Monday","Tuesday","Wednesday","Thursday","Friday","Saturday")</f>
        <v>Thursday</v>
      </c>
      <c r="W357" t="str">
        <f>CHOOSE(BikeData[[#This Row],[weathersit]],"Clear / Few Clouds","Mist / Cloudy","Light Rain / Snow","Heavy Rain / Snow")</f>
        <v>Mist / Cloudy</v>
      </c>
    </row>
    <row r="358" spans="1:23" x14ac:dyDescent="0.3">
      <c r="A358">
        <v>357</v>
      </c>
      <c r="B358" s="1">
        <v>40900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>
        <v>0.37333300000000003</v>
      </c>
      <c r="K358">
        <v>0.37751299999999999</v>
      </c>
      <c r="L358">
        <v>0.68625000000000003</v>
      </c>
      <c r="M358">
        <v>0.27424599999999999</v>
      </c>
      <c r="N358">
        <v>163</v>
      </c>
      <c r="O358">
        <v>2046</v>
      </c>
      <c r="P358">
        <v>2209</v>
      </c>
      <c r="Q358" t="str">
        <f>IF(BikeData[[#This Row],[casual]]+BikeData[[#This Row],[registered]]=BikeData[[#This Row],[cnt]],"OK","Check")</f>
        <v>OK</v>
      </c>
      <c r="R358">
        <f>IF(BikeData[[#This Row],[yr]]=0,2011,2012)</f>
        <v>2011</v>
      </c>
      <c r="S358" t="str">
        <f>CHOOSE(BikeData[[#This Row],[season]],"Winter","Spring","Summer","Fall")</f>
        <v>Winter</v>
      </c>
      <c r="T358" t="str">
        <f>TEXT(DATE(2000,BikeData[[#This Row],[mnth]],1),"mmmm")</f>
        <v>December</v>
      </c>
      <c r="U358" t="str">
        <f>IF(BikeData[[#This Row],[workingday]]=1,"Working Day","Non-working Day")</f>
        <v>Working Day</v>
      </c>
      <c r="V358" t="str">
        <f>CHOOSE(BikeData[[#This Row],[weekday]]+1,"Sunday","Monday","Tuesday","Wednesday","Thursday","Friday","Saturday")</f>
        <v>Friday</v>
      </c>
      <c r="W358" t="str">
        <f>CHOOSE(BikeData[[#This Row],[weathersit]],"Clear / Few Clouds","Mist / Cloudy","Light Rain / Snow","Heavy Rain / Snow")</f>
        <v>Clear / Few Clouds</v>
      </c>
    </row>
    <row r="359" spans="1:23" x14ac:dyDescent="0.3">
      <c r="A359">
        <v>358</v>
      </c>
      <c r="B359" s="1">
        <v>40901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>
        <v>0.30249999999999999</v>
      </c>
      <c r="K359">
        <v>0.29924200000000001</v>
      </c>
      <c r="L359">
        <v>0.54249999999999998</v>
      </c>
      <c r="M359">
        <v>0.190304</v>
      </c>
      <c r="N359">
        <v>155</v>
      </c>
      <c r="O359">
        <v>856</v>
      </c>
      <c r="P359">
        <v>1011</v>
      </c>
      <c r="Q359" t="str">
        <f>IF(BikeData[[#This Row],[casual]]+BikeData[[#This Row],[registered]]=BikeData[[#This Row],[cnt]],"OK","Check")</f>
        <v>OK</v>
      </c>
      <c r="R359">
        <f>IF(BikeData[[#This Row],[yr]]=0,2011,2012)</f>
        <v>2011</v>
      </c>
      <c r="S359" t="str">
        <f>CHOOSE(BikeData[[#This Row],[season]],"Winter","Spring","Summer","Fall")</f>
        <v>Winter</v>
      </c>
      <c r="T359" t="str">
        <f>TEXT(DATE(2000,BikeData[[#This Row],[mnth]],1),"mmmm")</f>
        <v>December</v>
      </c>
      <c r="U359" t="str">
        <f>IF(BikeData[[#This Row],[workingday]]=1,"Working Day","Non-working Day")</f>
        <v>Non-working Day</v>
      </c>
      <c r="V359" t="str">
        <f>CHOOSE(BikeData[[#This Row],[weekday]]+1,"Sunday","Monday","Tuesday","Wednesday","Thursday","Friday","Saturday")</f>
        <v>Saturday</v>
      </c>
      <c r="W359" t="str">
        <f>CHOOSE(BikeData[[#This Row],[weathersit]],"Clear / Few Clouds","Mist / Cloudy","Light Rain / Snow","Heavy Rain / Snow")</f>
        <v>Clear / Few Clouds</v>
      </c>
    </row>
    <row r="360" spans="1:23" x14ac:dyDescent="0.3">
      <c r="A360">
        <v>359</v>
      </c>
      <c r="B360" s="1">
        <v>40902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>
        <v>0.274783</v>
      </c>
      <c r="K360">
        <v>0.27996100000000002</v>
      </c>
      <c r="L360">
        <v>0.68130400000000002</v>
      </c>
      <c r="M360">
        <v>0.15509100000000001</v>
      </c>
      <c r="N360">
        <v>303</v>
      </c>
      <c r="O360">
        <v>451</v>
      </c>
      <c r="P360">
        <v>754</v>
      </c>
      <c r="Q360" t="str">
        <f>IF(BikeData[[#This Row],[casual]]+BikeData[[#This Row],[registered]]=BikeData[[#This Row],[cnt]],"OK","Check")</f>
        <v>OK</v>
      </c>
      <c r="R360">
        <f>IF(BikeData[[#This Row],[yr]]=0,2011,2012)</f>
        <v>2011</v>
      </c>
      <c r="S360" t="str">
        <f>CHOOSE(BikeData[[#This Row],[season]],"Winter","Spring","Summer","Fall")</f>
        <v>Winter</v>
      </c>
      <c r="T360" t="str">
        <f>TEXT(DATE(2000,BikeData[[#This Row],[mnth]],1),"mmmm")</f>
        <v>December</v>
      </c>
      <c r="U360" t="str">
        <f>IF(BikeData[[#This Row],[workingday]]=1,"Working Day","Non-working Day")</f>
        <v>Non-working Day</v>
      </c>
      <c r="V360" t="str">
        <f>CHOOSE(BikeData[[#This Row],[weekday]]+1,"Sunday","Monday","Tuesday","Wednesday","Thursday","Friday","Saturday")</f>
        <v>Sunday</v>
      </c>
      <c r="W360" t="str">
        <f>CHOOSE(BikeData[[#This Row],[weathersit]],"Clear / Few Clouds","Mist / Cloudy","Light Rain / Snow","Heavy Rain / Snow")</f>
        <v>Clear / Few Clouds</v>
      </c>
    </row>
    <row r="361" spans="1:23" x14ac:dyDescent="0.3">
      <c r="A361">
        <v>360</v>
      </c>
      <c r="B361" s="1">
        <v>40903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>
        <v>0.321739</v>
      </c>
      <c r="K361">
        <v>0.31553500000000001</v>
      </c>
      <c r="L361">
        <v>0.50695699999999999</v>
      </c>
      <c r="M361">
        <v>0.23946500000000001</v>
      </c>
      <c r="N361">
        <v>430</v>
      </c>
      <c r="O361">
        <v>887</v>
      </c>
      <c r="P361">
        <v>1317</v>
      </c>
      <c r="Q361" t="str">
        <f>IF(BikeData[[#This Row],[casual]]+BikeData[[#This Row],[registered]]=BikeData[[#This Row],[cnt]],"OK","Check")</f>
        <v>OK</v>
      </c>
      <c r="R361">
        <f>IF(BikeData[[#This Row],[yr]]=0,2011,2012)</f>
        <v>2011</v>
      </c>
      <c r="S361" t="str">
        <f>CHOOSE(BikeData[[#This Row],[season]],"Winter","Spring","Summer","Fall")</f>
        <v>Winter</v>
      </c>
      <c r="T361" t="str">
        <f>TEXT(DATE(2000,BikeData[[#This Row],[mnth]],1),"mmmm")</f>
        <v>December</v>
      </c>
      <c r="U361" t="str">
        <f>IF(BikeData[[#This Row],[workingday]]=1,"Working Day","Non-working Day")</f>
        <v>Non-working Day</v>
      </c>
      <c r="V361" t="str">
        <f>CHOOSE(BikeData[[#This Row],[weekday]]+1,"Sunday","Monday","Tuesday","Wednesday","Thursday","Friday","Saturday")</f>
        <v>Monday</v>
      </c>
      <c r="W361" t="str">
        <f>CHOOSE(BikeData[[#This Row],[weathersit]],"Clear / Few Clouds","Mist / Cloudy","Light Rain / Snow","Heavy Rain / Snow")</f>
        <v>Clear / Few Clouds</v>
      </c>
    </row>
    <row r="362" spans="1:23" x14ac:dyDescent="0.3">
      <c r="A362">
        <v>361</v>
      </c>
      <c r="B362" s="1">
        <v>40904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>
        <v>0.32500000000000001</v>
      </c>
      <c r="K362">
        <v>0.32763300000000001</v>
      </c>
      <c r="L362">
        <v>0.76249999999999996</v>
      </c>
      <c r="M362">
        <v>0.18845000000000001</v>
      </c>
      <c r="N362">
        <v>103</v>
      </c>
      <c r="O362">
        <v>1059</v>
      </c>
      <c r="P362">
        <v>1162</v>
      </c>
      <c r="Q362" t="str">
        <f>IF(BikeData[[#This Row],[casual]]+BikeData[[#This Row],[registered]]=BikeData[[#This Row],[cnt]],"OK","Check")</f>
        <v>OK</v>
      </c>
      <c r="R362">
        <f>IF(BikeData[[#This Row],[yr]]=0,2011,2012)</f>
        <v>2011</v>
      </c>
      <c r="S362" t="str">
        <f>CHOOSE(BikeData[[#This Row],[season]],"Winter","Spring","Summer","Fall")</f>
        <v>Winter</v>
      </c>
      <c r="T362" t="str">
        <f>TEXT(DATE(2000,BikeData[[#This Row],[mnth]],1),"mmmm")</f>
        <v>December</v>
      </c>
      <c r="U362" t="str">
        <f>IF(BikeData[[#This Row],[workingday]]=1,"Working Day","Non-working Day")</f>
        <v>Working Day</v>
      </c>
      <c r="V362" t="str">
        <f>CHOOSE(BikeData[[#This Row],[weekday]]+1,"Sunday","Monday","Tuesday","Wednesday","Thursday","Friday","Saturday")</f>
        <v>Tuesday</v>
      </c>
      <c r="W362" t="str">
        <f>CHOOSE(BikeData[[#This Row],[weathersit]],"Clear / Few Clouds","Mist / Cloudy","Light Rain / Snow","Heavy Rain / Snow")</f>
        <v>Mist / Cloudy</v>
      </c>
    </row>
    <row r="363" spans="1:23" x14ac:dyDescent="0.3">
      <c r="A363">
        <v>362</v>
      </c>
      <c r="B363" s="1">
        <v>40905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>
        <v>0.29913000000000001</v>
      </c>
      <c r="K363">
        <v>0.279974</v>
      </c>
      <c r="L363">
        <v>0.50391300000000006</v>
      </c>
      <c r="M363">
        <v>0.29396099999999997</v>
      </c>
      <c r="N363">
        <v>255</v>
      </c>
      <c r="O363">
        <v>2047</v>
      </c>
      <c r="P363">
        <v>2302</v>
      </c>
      <c r="Q363" t="str">
        <f>IF(BikeData[[#This Row],[casual]]+BikeData[[#This Row],[registered]]=BikeData[[#This Row],[cnt]],"OK","Check")</f>
        <v>OK</v>
      </c>
      <c r="R363">
        <f>IF(BikeData[[#This Row],[yr]]=0,2011,2012)</f>
        <v>2011</v>
      </c>
      <c r="S363" t="str">
        <f>CHOOSE(BikeData[[#This Row],[season]],"Winter","Spring","Summer","Fall")</f>
        <v>Winter</v>
      </c>
      <c r="T363" t="str">
        <f>TEXT(DATE(2000,BikeData[[#This Row],[mnth]],1),"mmmm")</f>
        <v>December</v>
      </c>
      <c r="U363" t="str">
        <f>IF(BikeData[[#This Row],[workingday]]=1,"Working Day","Non-working Day")</f>
        <v>Working Day</v>
      </c>
      <c r="V363" t="str">
        <f>CHOOSE(BikeData[[#This Row],[weekday]]+1,"Sunday","Monday","Tuesday","Wednesday","Thursday","Friday","Saturday")</f>
        <v>Wednesday</v>
      </c>
      <c r="W363" t="str">
        <f>CHOOSE(BikeData[[#This Row],[weathersit]],"Clear / Few Clouds","Mist / Cloudy","Light Rain / Snow","Heavy Rain / Snow")</f>
        <v>Clear / Few Clouds</v>
      </c>
    </row>
    <row r="364" spans="1:23" x14ac:dyDescent="0.3">
      <c r="A364">
        <v>363</v>
      </c>
      <c r="B364" s="1">
        <v>40906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>
        <v>0.248333</v>
      </c>
      <c r="K364">
        <v>0.26389200000000002</v>
      </c>
      <c r="L364">
        <v>0.57416699999999998</v>
      </c>
      <c r="M364">
        <v>0.119412</v>
      </c>
      <c r="N364">
        <v>254</v>
      </c>
      <c r="O364">
        <v>2169</v>
      </c>
      <c r="P364">
        <v>2423</v>
      </c>
      <c r="Q364" t="str">
        <f>IF(BikeData[[#This Row],[casual]]+BikeData[[#This Row],[registered]]=BikeData[[#This Row],[cnt]],"OK","Check")</f>
        <v>OK</v>
      </c>
      <c r="R364">
        <f>IF(BikeData[[#This Row],[yr]]=0,2011,2012)</f>
        <v>2011</v>
      </c>
      <c r="S364" t="str">
        <f>CHOOSE(BikeData[[#This Row],[season]],"Winter","Spring","Summer","Fall")</f>
        <v>Winter</v>
      </c>
      <c r="T364" t="str">
        <f>TEXT(DATE(2000,BikeData[[#This Row],[mnth]],1),"mmmm")</f>
        <v>December</v>
      </c>
      <c r="U364" t="str">
        <f>IF(BikeData[[#This Row],[workingday]]=1,"Working Day","Non-working Day")</f>
        <v>Working Day</v>
      </c>
      <c r="V364" t="str">
        <f>CHOOSE(BikeData[[#This Row],[weekday]]+1,"Sunday","Monday","Tuesday","Wednesday","Thursday","Friday","Saturday")</f>
        <v>Thursday</v>
      </c>
      <c r="W364" t="str">
        <f>CHOOSE(BikeData[[#This Row],[weathersit]],"Clear / Few Clouds","Mist / Cloudy","Light Rain / Snow","Heavy Rain / Snow")</f>
        <v>Clear / Few Clouds</v>
      </c>
    </row>
    <row r="365" spans="1:23" x14ac:dyDescent="0.3">
      <c r="A365">
        <v>364</v>
      </c>
      <c r="B365" s="1">
        <v>40907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>
        <v>0.31166700000000003</v>
      </c>
      <c r="K365">
        <v>0.31881199999999998</v>
      </c>
      <c r="L365">
        <v>0.63666699999999998</v>
      </c>
      <c r="M365">
        <v>0.13433700000000001</v>
      </c>
      <c r="N365">
        <v>491</v>
      </c>
      <c r="O365">
        <v>2508</v>
      </c>
      <c r="P365">
        <v>2999</v>
      </c>
      <c r="Q365" t="str">
        <f>IF(BikeData[[#This Row],[casual]]+BikeData[[#This Row],[registered]]=BikeData[[#This Row],[cnt]],"OK","Check")</f>
        <v>OK</v>
      </c>
      <c r="R365">
        <f>IF(BikeData[[#This Row],[yr]]=0,2011,2012)</f>
        <v>2011</v>
      </c>
      <c r="S365" t="str">
        <f>CHOOSE(BikeData[[#This Row],[season]],"Winter","Spring","Summer","Fall")</f>
        <v>Winter</v>
      </c>
      <c r="T365" t="str">
        <f>TEXT(DATE(2000,BikeData[[#This Row],[mnth]],1),"mmmm")</f>
        <v>December</v>
      </c>
      <c r="U365" t="str">
        <f>IF(BikeData[[#This Row],[workingday]]=1,"Working Day","Non-working Day")</f>
        <v>Working Day</v>
      </c>
      <c r="V365" t="str">
        <f>CHOOSE(BikeData[[#This Row],[weekday]]+1,"Sunday","Monday","Tuesday","Wednesday","Thursday","Friday","Saturday")</f>
        <v>Friday</v>
      </c>
      <c r="W365" t="str">
        <f>CHOOSE(BikeData[[#This Row],[weathersit]],"Clear / Few Clouds","Mist / Cloudy","Light Rain / Snow","Heavy Rain / Snow")</f>
        <v>Clear / Few Clouds</v>
      </c>
    </row>
    <row r="366" spans="1:23" x14ac:dyDescent="0.3">
      <c r="A366">
        <v>365</v>
      </c>
      <c r="B366" s="1">
        <v>40908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>
        <v>0.41</v>
      </c>
      <c r="K366">
        <v>0.41412100000000002</v>
      </c>
      <c r="L366">
        <v>0.61583299999999996</v>
      </c>
      <c r="M366">
        <v>0.22015399999999999</v>
      </c>
      <c r="N366">
        <v>665</v>
      </c>
      <c r="O366">
        <v>1820</v>
      </c>
      <c r="P366">
        <v>2485</v>
      </c>
      <c r="Q366" t="str">
        <f>IF(BikeData[[#This Row],[casual]]+BikeData[[#This Row],[registered]]=BikeData[[#This Row],[cnt]],"OK","Check")</f>
        <v>OK</v>
      </c>
      <c r="R366">
        <f>IF(BikeData[[#This Row],[yr]]=0,2011,2012)</f>
        <v>2011</v>
      </c>
      <c r="S366" t="str">
        <f>CHOOSE(BikeData[[#This Row],[season]],"Winter","Spring","Summer","Fall")</f>
        <v>Winter</v>
      </c>
      <c r="T366" t="str">
        <f>TEXT(DATE(2000,BikeData[[#This Row],[mnth]],1),"mmmm")</f>
        <v>December</v>
      </c>
      <c r="U366" t="str">
        <f>IF(BikeData[[#This Row],[workingday]]=1,"Working Day","Non-working Day")</f>
        <v>Non-working Day</v>
      </c>
      <c r="V366" t="str">
        <f>CHOOSE(BikeData[[#This Row],[weekday]]+1,"Sunday","Monday","Tuesday","Wednesday","Thursday","Friday","Saturday")</f>
        <v>Saturday</v>
      </c>
      <c r="W366" t="str">
        <f>CHOOSE(BikeData[[#This Row],[weathersit]],"Clear / Few Clouds","Mist / Cloudy","Light Rain / Snow","Heavy Rain / Snow")</f>
        <v>Clear / Few Clouds</v>
      </c>
    </row>
    <row r="367" spans="1:23" x14ac:dyDescent="0.3">
      <c r="A367">
        <v>366</v>
      </c>
      <c r="B367" s="1">
        <v>40909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0.37</v>
      </c>
      <c r="K367">
        <v>0.37562099999999998</v>
      </c>
      <c r="L367">
        <v>0.6925</v>
      </c>
      <c r="M367">
        <v>0.192167</v>
      </c>
      <c r="N367">
        <v>686</v>
      </c>
      <c r="O367">
        <v>1608</v>
      </c>
      <c r="P367">
        <v>2294</v>
      </c>
      <c r="Q367" t="str">
        <f>IF(BikeData[[#This Row],[casual]]+BikeData[[#This Row],[registered]]=BikeData[[#This Row],[cnt]],"OK","Check")</f>
        <v>OK</v>
      </c>
      <c r="R367">
        <f>IF(BikeData[[#This Row],[yr]]=0,2011,2012)</f>
        <v>2012</v>
      </c>
      <c r="S367" t="str">
        <f>CHOOSE(BikeData[[#This Row],[season]],"Winter","Spring","Summer","Fall")</f>
        <v>Winter</v>
      </c>
      <c r="T367" t="str">
        <f>TEXT(DATE(2000,BikeData[[#This Row],[mnth]],1),"mmmm")</f>
        <v>January</v>
      </c>
      <c r="U367" t="str">
        <f>IF(BikeData[[#This Row],[workingday]]=1,"Working Day","Non-working Day")</f>
        <v>Non-working Day</v>
      </c>
      <c r="V367" t="str">
        <f>CHOOSE(BikeData[[#This Row],[weekday]]+1,"Sunday","Monday","Tuesday","Wednesday","Thursday","Friday","Saturday")</f>
        <v>Sunday</v>
      </c>
      <c r="W367" t="str">
        <f>CHOOSE(BikeData[[#This Row],[weathersit]],"Clear / Few Clouds","Mist / Cloudy","Light Rain / Snow","Heavy Rain / Snow")</f>
        <v>Clear / Few Clouds</v>
      </c>
    </row>
    <row r="368" spans="1:23" x14ac:dyDescent="0.3">
      <c r="A368">
        <v>367</v>
      </c>
      <c r="B368" s="1">
        <v>40910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0.27304299999999998</v>
      </c>
      <c r="K368">
        <v>0.25230399999999997</v>
      </c>
      <c r="L368">
        <v>0.38130399999999998</v>
      </c>
      <c r="M368">
        <v>0.32966499999999999</v>
      </c>
      <c r="N368">
        <v>244</v>
      </c>
      <c r="O368">
        <v>1707</v>
      </c>
      <c r="P368">
        <v>1951</v>
      </c>
      <c r="Q368" t="str">
        <f>IF(BikeData[[#This Row],[casual]]+BikeData[[#This Row],[registered]]=BikeData[[#This Row],[cnt]],"OK","Check")</f>
        <v>OK</v>
      </c>
      <c r="R368">
        <f>IF(BikeData[[#This Row],[yr]]=0,2011,2012)</f>
        <v>2012</v>
      </c>
      <c r="S368" t="str">
        <f>CHOOSE(BikeData[[#This Row],[season]],"Winter","Spring","Summer","Fall")</f>
        <v>Winter</v>
      </c>
      <c r="T368" t="str">
        <f>TEXT(DATE(2000,BikeData[[#This Row],[mnth]],1),"mmmm")</f>
        <v>January</v>
      </c>
      <c r="U368" t="str">
        <f>IF(BikeData[[#This Row],[workingday]]=1,"Working Day","Non-working Day")</f>
        <v>Non-working Day</v>
      </c>
      <c r="V368" t="str">
        <f>CHOOSE(BikeData[[#This Row],[weekday]]+1,"Sunday","Monday","Tuesday","Wednesday","Thursday","Friday","Saturday")</f>
        <v>Monday</v>
      </c>
      <c r="W368" t="str">
        <f>CHOOSE(BikeData[[#This Row],[weathersit]],"Clear / Few Clouds","Mist / Cloudy","Light Rain / Snow","Heavy Rain / Snow")</f>
        <v>Clear / Few Clouds</v>
      </c>
    </row>
    <row r="369" spans="1:23" x14ac:dyDescent="0.3">
      <c r="A369">
        <v>368</v>
      </c>
      <c r="B369" s="1">
        <v>40911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>
        <v>0.15</v>
      </c>
      <c r="K369">
        <v>0.126275</v>
      </c>
      <c r="L369">
        <v>0.44124999999999998</v>
      </c>
      <c r="M369">
        <v>0.36567100000000002</v>
      </c>
      <c r="N369">
        <v>89</v>
      </c>
      <c r="O369">
        <v>2147</v>
      </c>
      <c r="P369">
        <v>2236</v>
      </c>
      <c r="Q369" t="str">
        <f>IF(BikeData[[#This Row],[casual]]+BikeData[[#This Row],[registered]]=BikeData[[#This Row],[cnt]],"OK","Check")</f>
        <v>OK</v>
      </c>
      <c r="R369">
        <f>IF(BikeData[[#This Row],[yr]]=0,2011,2012)</f>
        <v>2012</v>
      </c>
      <c r="S369" t="str">
        <f>CHOOSE(BikeData[[#This Row],[season]],"Winter","Spring","Summer","Fall")</f>
        <v>Winter</v>
      </c>
      <c r="T369" t="str">
        <f>TEXT(DATE(2000,BikeData[[#This Row],[mnth]],1),"mmmm")</f>
        <v>January</v>
      </c>
      <c r="U369" t="str">
        <f>IF(BikeData[[#This Row],[workingday]]=1,"Working Day","Non-working Day")</f>
        <v>Working Day</v>
      </c>
      <c r="V369" t="str">
        <f>CHOOSE(BikeData[[#This Row],[weekday]]+1,"Sunday","Monday","Tuesday","Wednesday","Thursday","Friday","Saturday")</f>
        <v>Tuesday</v>
      </c>
      <c r="W369" t="str">
        <f>CHOOSE(BikeData[[#This Row],[weathersit]],"Clear / Few Clouds","Mist / Cloudy","Light Rain / Snow","Heavy Rain / Snow")</f>
        <v>Clear / Few Clouds</v>
      </c>
    </row>
    <row r="370" spans="1:23" x14ac:dyDescent="0.3">
      <c r="A370">
        <v>369</v>
      </c>
      <c r="B370" s="1">
        <v>40912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>
        <v>0.1075</v>
      </c>
      <c r="K370">
        <v>0.119337</v>
      </c>
      <c r="L370">
        <v>0.41458299999999998</v>
      </c>
      <c r="M370">
        <v>0.1847</v>
      </c>
      <c r="N370">
        <v>95</v>
      </c>
      <c r="O370">
        <v>2273</v>
      </c>
      <c r="P370">
        <v>2368</v>
      </c>
      <c r="Q370" t="str">
        <f>IF(BikeData[[#This Row],[casual]]+BikeData[[#This Row],[registered]]=BikeData[[#This Row],[cnt]],"OK","Check")</f>
        <v>OK</v>
      </c>
      <c r="R370">
        <f>IF(BikeData[[#This Row],[yr]]=0,2011,2012)</f>
        <v>2012</v>
      </c>
      <c r="S370" t="str">
        <f>CHOOSE(BikeData[[#This Row],[season]],"Winter","Spring","Summer","Fall")</f>
        <v>Winter</v>
      </c>
      <c r="T370" t="str">
        <f>TEXT(DATE(2000,BikeData[[#This Row],[mnth]],1),"mmmm")</f>
        <v>January</v>
      </c>
      <c r="U370" t="str">
        <f>IF(BikeData[[#This Row],[workingday]]=1,"Working Day","Non-working Day")</f>
        <v>Working Day</v>
      </c>
      <c r="V370" t="str">
        <f>CHOOSE(BikeData[[#This Row],[weekday]]+1,"Sunday","Monday","Tuesday","Wednesday","Thursday","Friday","Saturday")</f>
        <v>Wednesday</v>
      </c>
      <c r="W370" t="str">
        <f>CHOOSE(BikeData[[#This Row],[weathersit]],"Clear / Few Clouds","Mist / Cloudy","Light Rain / Snow","Heavy Rain / Snow")</f>
        <v>Mist / Cloudy</v>
      </c>
    </row>
    <row r="371" spans="1:23" x14ac:dyDescent="0.3">
      <c r="A371">
        <v>370</v>
      </c>
      <c r="B371" s="1">
        <v>40913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>
        <v>0.26583299999999999</v>
      </c>
      <c r="K371">
        <v>0.27841199999999999</v>
      </c>
      <c r="L371">
        <v>0.52416700000000005</v>
      </c>
      <c r="M371">
        <v>0.12998699999999999</v>
      </c>
      <c r="N371">
        <v>140</v>
      </c>
      <c r="O371">
        <v>3132</v>
      </c>
      <c r="P371">
        <v>3272</v>
      </c>
      <c r="Q371" t="str">
        <f>IF(BikeData[[#This Row],[casual]]+BikeData[[#This Row],[registered]]=BikeData[[#This Row],[cnt]],"OK","Check")</f>
        <v>OK</v>
      </c>
      <c r="R371">
        <f>IF(BikeData[[#This Row],[yr]]=0,2011,2012)</f>
        <v>2012</v>
      </c>
      <c r="S371" t="str">
        <f>CHOOSE(BikeData[[#This Row],[season]],"Winter","Spring","Summer","Fall")</f>
        <v>Winter</v>
      </c>
      <c r="T371" t="str">
        <f>TEXT(DATE(2000,BikeData[[#This Row],[mnth]],1),"mmmm")</f>
        <v>January</v>
      </c>
      <c r="U371" t="str">
        <f>IF(BikeData[[#This Row],[workingday]]=1,"Working Day","Non-working Day")</f>
        <v>Working Day</v>
      </c>
      <c r="V371" t="str">
        <f>CHOOSE(BikeData[[#This Row],[weekday]]+1,"Sunday","Monday","Tuesday","Wednesday","Thursday","Friday","Saturday")</f>
        <v>Thursday</v>
      </c>
      <c r="W371" t="str">
        <f>CHOOSE(BikeData[[#This Row],[weathersit]],"Clear / Few Clouds","Mist / Cloudy","Light Rain / Snow","Heavy Rain / Snow")</f>
        <v>Clear / Few Clouds</v>
      </c>
    </row>
    <row r="372" spans="1:23" x14ac:dyDescent="0.3">
      <c r="A372">
        <v>371</v>
      </c>
      <c r="B372" s="1">
        <v>40914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>
        <v>0.33416699999999999</v>
      </c>
      <c r="K372">
        <v>0.34026699999999999</v>
      </c>
      <c r="L372">
        <v>0.54208299999999998</v>
      </c>
      <c r="M372">
        <v>0.167908</v>
      </c>
      <c r="N372">
        <v>307</v>
      </c>
      <c r="O372">
        <v>3791</v>
      </c>
      <c r="P372">
        <v>4098</v>
      </c>
      <c r="Q372" t="str">
        <f>IF(BikeData[[#This Row],[casual]]+BikeData[[#This Row],[registered]]=BikeData[[#This Row],[cnt]],"OK","Check")</f>
        <v>OK</v>
      </c>
      <c r="R372">
        <f>IF(BikeData[[#This Row],[yr]]=0,2011,2012)</f>
        <v>2012</v>
      </c>
      <c r="S372" t="str">
        <f>CHOOSE(BikeData[[#This Row],[season]],"Winter","Spring","Summer","Fall")</f>
        <v>Winter</v>
      </c>
      <c r="T372" t="str">
        <f>TEXT(DATE(2000,BikeData[[#This Row],[mnth]],1),"mmmm")</f>
        <v>January</v>
      </c>
      <c r="U372" t="str">
        <f>IF(BikeData[[#This Row],[workingday]]=1,"Working Day","Non-working Day")</f>
        <v>Working Day</v>
      </c>
      <c r="V372" t="str">
        <f>CHOOSE(BikeData[[#This Row],[weekday]]+1,"Sunday","Monday","Tuesday","Wednesday","Thursday","Friday","Saturday")</f>
        <v>Friday</v>
      </c>
      <c r="W372" t="str">
        <f>CHOOSE(BikeData[[#This Row],[weathersit]],"Clear / Few Clouds","Mist / Cloudy","Light Rain / Snow","Heavy Rain / Snow")</f>
        <v>Clear / Few Clouds</v>
      </c>
    </row>
    <row r="373" spans="1:23" x14ac:dyDescent="0.3">
      <c r="A373">
        <v>372</v>
      </c>
      <c r="B373" s="1">
        <v>40915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>
        <v>0.39333299999999999</v>
      </c>
      <c r="K373">
        <v>0.39077899999999999</v>
      </c>
      <c r="L373">
        <v>0.531667</v>
      </c>
      <c r="M373">
        <v>0.174758</v>
      </c>
      <c r="N373">
        <v>1070</v>
      </c>
      <c r="O373">
        <v>3451</v>
      </c>
      <c r="P373">
        <v>4521</v>
      </c>
      <c r="Q373" t="str">
        <f>IF(BikeData[[#This Row],[casual]]+BikeData[[#This Row],[registered]]=BikeData[[#This Row],[cnt]],"OK","Check")</f>
        <v>OK</v>
      </c>
      <c r="R373">
        <f>IF(BikeData[[#This Row],[yr]]=0,2011,2012)</f>
        <v>2012</v>
      </c>
      <c r="S373" t="str">
        <f>CHOOSE(BikeData[[#This Row],[season]],"Winter","Spring","Summer","Fall")</f>
        <v>Winter</v>
      </c>
      <c r="T373" t="str">
        <f>TEXT(DATE(2000,BikeData[[#This Row],[mnth]],1),"mmmm")</f>
        <v>January</v>
      </c>
      <c r="U373" t="str">
        <f>IF(BikeData[[#This Row],[workingday]]=1,"Working Day","Non-working Day")</f>
        <v>Non-working Day</v>
      </c>
      <c r="V373" t="str">
        <f>CHOOSE(BikeData[[#This Row],[weekday]]+1,"Sunday","Monday","Tuesday","Wednesday","Thursday","Friday","Saturday")</f>
        <v>Saturday</v>
      </c>
      <c r="W373" t="str">
        <f>CHOOSE(BikeData[[#This Row],[weathersit]],"Clear / Few Clouds","Mist / Cloudy","Light Rain / Snow","Heavy Rain / Snow")</f>
        <v>Clear / Few Clouds</v>
      </c>
    </row>
    <row r="374" spans="1:23" x14ac:dyDescent="0.3">
      <c r="A374">
        <v>373</v>
      </c>
      <c r="B374" s="1">
        <v>40916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0.33750000000000002</v>
      </c>
      <c r="K374">
        <v>0.340258</v>
      </c>
      <c r="L374">
        <v>0.46500000000000002</v>
      </c>
      <c r="M374">
        <v>0.19154199999999999</v>
      </c>
      <c r="N374">
        <v>599</v>
      </c>
      <c r="O374">
        <v>2826</v>
      </c>
      <c r="P374">
        <v>3425</v>
      </c>
      <c r="Q374" t="str">
        <f>IF(BikeData[[#This Row],[casual]]+BikeData[[#This Row],[registered]]=BikeData[[#This Row],[cnt]],"OK","Check")</f>
        <v>OK</v>
      </c>
      <c r="R374">
        <f>IF(BikeData[[#This Row],[yr]]=0,2011,2012)</f>
        <v>2012</v>
      </c>
      <c r="S374" t="str">
        <f>CHOOSE(BikeData[[#This Row],[season]],"Winter","Spring","Summer","Fall")</f>
        <v>Winter</v>
      </c>
      <c r="T374" t="str">
        <f>TEXT(DATE(2000,BikeData[[#This Row],[mnth]],1),"mmmm")</f>
        <v>January</v>
      </c>
      <c r="U374" t="str">
        <f>IF(BikeData[[#This Row],[workingday]]=1,"Working Day","Non-working Day")</f>
        <v>Non-working Day</v>
      </c>
      <c r="V374" t="str">
        <f>CHOOSE(BikeData[[#This Row],[weekday]]+1,"Sunday","Monday","Tuesday","Wednesday","Thursday","Friday","Saturday")</f>
        <v>Sunday</v>
      </c>
      <c r="W374" t="str">
        <f>CHOOSE(BikeData[[#This Row],[weathersit]],"Clear / Few Clouds","Mist / Cloudy","Light Rain / Snow","Heavy Rain / Snow")</f>
        <v>Clear / Few Clouds</v>
      </c>
    </row>
    <row r="375" spans="1:23" x14ac:dyDescent="0.3">
      <c r="A375">
        <v>374</v>
      </c>
      <c r="B375" s="1">
        <v>40917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>
        <v>0.22416700000000001</v>
      </c>
      <c r="K375">
        <v>0.247479</v>
      </c>
      <c r="L375">
        <v>0.70166700000000004</v>
      </c>
      <c r="M375">
        <v>9.8900000000000002E-2</v>
      </c>
      <c r="N375">
        <v>106</v>
      </c>
      <c r="O375">
        <v>2270</v>
      </c>
      <c r="P375">
        <v>2376</v>
      </c>
      <c r="Q375" t="str">
        <f>IF(BikeData[[#This Row],[casual]]+BikeData[[#This Row],[registered]]=BikeData[[#This Row],[cnt]],"OK","Check")</f>
        <v>OK</v>
      </c>
      <c r="R375">
        <f>IF(BikeData[[#This Row],[yr]]=0,2011,2012)</f>
        <v>2012</v>
      </c>
      <c r="S375" t="str">
        <f>CHOOSE(BikeData[[#This Row],[season]],"Winter","Spring","Summer","Fall")</f>
        <v>Winter</v>
      </c>
      <c r="T375" t="str">
        <f>TEXT(DATE(2000,BikeData[[#This Row],[mnth]],1),"mmmm")</f>
        <v>January</v>
      </c>
      <c r="U375" t="str">
        <f>IF(BikeData[[#This Row],[workingday]]=1,"Working Day","Non-working Day")</f>
        <v>Working Day</v>
      </c>
      <c r="V375" t="str">
        <f>CHOOSE(BikeData[[#This Row],[weekday]]+1,"Sunday","Monday","Tuesday","Wednesday","Thursday","Friday","Saturday")</f>
        <v>Monday</v>
      </c>
      <c r="W375" t="str">
        <f>CHOOSE(BikeData[[#This Row],[weathersit]],"Clear / Few Clouds","Mist / Cloudy","Light Rain / Snow","Heavy Rain / Snow")</f>
        <v>Mist / Cloudy</v>
      </c>
    </row>
    <row r="376" spans="1:23" x14ac:dyDescent="0.3">
      <c r="A376">
        <v>375</v>
      </c>
      <c r="B376" s="1">
        <v>40918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>
        <v>0.30869600000000003</v>
      </c>
      <c r="K376">
        <v>0.318826</v>
      </c>
      <c r="L376">
        <v>0.64652200000000004</v>
      </c>
      <c r="M376">
        <v>0.187552</v>
      </c>
      <c r="N376">
        <v>173</v>
      </c>
      <c r="O376">
        <v>3425</v>
      </c>
      <c r="P376">
        <v>3598</v>
      </c>
      <c r="Q376" t="str">
        <f>IF(BikeData[[#This Row],[casual]]+BikeData[[#This Row],[registered]]=BikeData[[#This Row],[cnt]],"OK","Check")</f>
        <v>OK</v>
      </c>
      <c r="R376">
        <f>IF(BikeData[[#This Row],[yr]]=0,2011,2012)</f>
        <v>2012</v>
      </c>
      <c r="S376" t="str">
        <f>CHOOSE(BikeData[[#This Row],[season]],"Winter","Spring","Summer","Fall")</f>
        <v>Winter</v>
      </c>
      <c r="T376" t="str">
        <f>TEXT(DATE(2000,BikeData[[#This Row],[mnth]],1),"mmmm")</f>
        <v>January</v>
      </c>
      <c r="U376" t="str">
        <f>IF(BikeData[[#This Row],[workingday]]=1,"Working Day","Non-working Day")</f>
        <v>Working Day</v>
      </c>
      <c r="V376" t="str">
        <f>CHOOSE(BikeData[[#This Row],[weekday]]+1,"Sunday","Monday","Tuesday","Wednesday","Thursday","Friday","Saturday")</f>
        <v>Tuesday</v>
      </c>
      <c r="W376" t="str">
        <f>CHOOSE(BikeData[[#This Row],[weathersit]],"Clear / Few Clouds","Mist / Cloudy","Light Rain / Snow","Heavy Rain / Snow")</f>
        <v>Clear / Few Clouds</v>
      </c>
    </row>
    <row r="377" spans="1:23" x14ac:dyDescent="0.3">
      <c r="A377">
        <v>376</v>
      </c>
      <c r="B377" s="1">
        <v>40919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>
        <v>0.27416699999999999</v>
      </c>
      <c r="K377">
        <v>0.28282099999999999</v>
      </c>
      <c r="L377">
        <v>0.84750000000000003</v>
      </c>
      <c r="M377">
        <v>0.131221</v>
      </c>
      <c r="N377">
        <v>92</v>
      </c>
      <c r="O377">
        <v>2085</v>
      </c>
      <c r="P377">
        <v>2177</v>
      </c>
      <c r="Q377" t="str">
        <f>IF(BikeData[[#This Row],[casual]]+BikeData[[#This Row],[registered]]=BikeData[[#This Row],[cnt]],"OK","Check")</f>
        <v>OK</v>
      </c>
      <c r="R377">
        <f>IF(BikeData[[#This Row],[yr]]=0,2011,2012)</f>
        <v>2012</v>
      </c>
      <c r="S377" t="str">
        <f>CHOOSE(BikeData[[#This Row],[season]],"Winter","Spring","Summer","Fall")</f>
        <v>Winter</v>
      </c>
      <c r="T377" t="str">
        <f>TEXT(DATE(2000,BikeData[[#This Row],[mnth]],1),"mmmm")</f>
        <v>January</v>
      </c>
      <c r="U377" t="str">
        <f>IF(BikeData[[#This Row],[workingday]]=1,"Working Day","Non-working Day")</f>
        <v>Working Day</v>
      </c>
      <c r="V377" t="str">
        <f>CHOOSE(BikeData[[#This Row],[weekday]]+1,"Sunday","Monday","Tuesday","Wednesday","Thursday","Friday","Saturday")</f>
        <v>Wednesday</v>
      </c>
      <c r="W377" t="str">
        <f>CHOOSE(BikeData[[#This Row],[weathersit]],"Clear / Few Clouds","Mist / Cloudy","Light Rain / Snow","Heavy Rain / Snow")</f>
        <v>Mist / Cloudy</v>
      </c>
    </row>
    <row r="378" spans="1:23" x14ac:dyDescent="0.3">
      <c r="A378">
        <v>377</v>
      </c>
      <c r="B378" s="1">
        <v>40920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>
        <v>0.38250000000000001</v>
      </c>
      <c r="K378">
        <v>0.381938</v>
      </c>
      <c r="L378">
        <v>0.80291699999999999</v>
      </c>
      <c r="M378">
        <v>0.18096699999999999</v>
      </c>
      <c r="N378">
        <v>269</v>
      </c>
      <c r="O378">
        <v>3828</v>
      </c>
      <c r="P378">
        <v>4097</v>
      </c>
      <c r="Q378" t="str">
        <f>IF(BikeData[[#This Row],[casual]]+BikeData[[#This Row],[registered]]=BikeData[[#This Row],[cnt]],"OK","Check")</f>
        <v>OK</v>
      </c>
      <c r="R378">
        <f>IF(BikeData[[#This Row],[yr]]=0,2011,2012)</f>
        <v>2012</v>
      </c>
      <c r="S378" t="str">
        <f>CHOOSE(BikeData[[#This Row],[season]],"Winter","Spring","Summer","Fall")</f>
        <v>Winter</v>
      </c>
      <c r="T378" t="str">
        <f>TEXT(DATE(2000,BikeData[[#This Row],[mnth]],1),"mmmm")</f>
        <v>January</v>
      </c>
      <c r="U378" t="str">
        <f>IF(BikeData[[#This Row],[workingday]]=1,"Working Day","Non-working Day")</f>
        <v>Working Day</v>
      </c>
      <c r="V378" t="str">
        <f>CHOOSE(BikeData[[#This Row],[weekday]]+1,"Sunday","Monday","Tuesday","Wednesday","Thursday","Friday","Saturday")</f>
        <v>Thursday</v>
      </c>
      <c r="W378" t="str">
        <f>CHOOSE(BikeData[[#This Row],[weathersit]],"Clear / Few Clouds","Mist / Cloudy","Light Rain / Snow","Heavy Rain / Snow")</f>
        <v>Mist / Cloudy</v>
      </c>
    </row>
    <row r="379" spans="1:23" x14ac:dyDescent="0.3">
      <c r="A379">
        <v>378</v>
      </c>
      <c r="B379" s="1">
        <v>40921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>
        <v>0.27416699999999999</v>
      </c>
      <c r="K379">
        <v>0.249362</v>
      </c>
      <c r="L379">
        <v>0.50749999999999995</v>
      </c>
      <c r="M379">
        <v>0.378108</v>
      </c>
      <c r="N379">
        <v>174</v>
      </c>
      <c r="O379">
        <v>3040</v>
      </c>
      <c r="P379">
        <v>3214</v>
      </c>
      <c r="Q379" t="str">
        <f>IF(BikeData[[#This Row],[casual]]+BikeData[[#This Row],[registered]]=BikeData[[#This Row],[cnt]],"OK","Check")</f>
        <v>OK</v>
      </c>
      <c r="R379">
        <f>IF(BikeData[[#This Row],[yr]]=0,2011,2012)</f>
        <v>2012</v>
      </c>
      <c r="S379" t="str">
        <f>CHOOSE(BikeData[[#This Row],[season]],"Winter","Spring","Summer","Fall")</f>
        <v>Winter</v>
      </c>
      <c r="T379" t="str">
        <f>TEXT(DATE(2000,BikeData[[#This Row],[mnth]],1),"mmmm")</f>
        <v>January</v>
      </c>
      <c r="U379" t="str">
        <f>IF(BikeData[[#This Row],[workingday]]=1,"Working Day","Non-working Day")</f>
        <v>Working Day</v>
      </c>
      <c r="V379" t="str">
        <f>CHOOSE(BikeData[[#This Row],[weekday]]+1,"Sunday","Monday","Tuesday","Wednesday","Thursday","Friday","Saturday")</f>
        <v>Friday</v>
      </c>
      <c r="W379" t="str">
        <f>CHOOSE(BikeData[[#This Row],[weathersit]],"Clear / Few Clouds","Mist / Cloudy","Light Rain / Snow","Heavy Rain / Snow")</f>
        <v>Clear / Few Clouds</v>
      </c>
    </row>
    <row r="380" spans="1:23" x14ac:dyDescent="0.3">
      <c r="A380">
        <v>379</v>
      </c>
      <c r="B380" s="1">
        <v>40922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>
        <v>0.18</v>
      </c>
      <c r="K380">
        <v>0.183087</v>
      </c>
      <c r="L380">
        <v>0.45750000000000002</v>
      </c>
      <c r="M380">
        <v>0.18718299999999999</v>
      </c>
      <c r="N380">
        <v>333</v>
      </c>
      <c r="O380">
        <v>2160</v>
      </c>
      <c r="P380">
        <v>2493</v>
      </c>
      <c r="Q380" t="str">
        <f>IF(BikeData[[#This Row],[casual]]+BikeData[[#This Row],[registered]]=BikeData[[#This Row],[cnt]],"OK","Check")</f>
        <v>OK</v>
      </c>
      <c r="R380">
        <f>IF(BikeData[[#This Row],[yr]]=0,2011,2012)</f>
        <v>2012</v>
      </c>
      <c r="S380" t="str">
        <f>CHOOSE(BikeData[[#This Row],[season]],"Winter","Spring","Summer","Fall")</f>
        <v>Winter</v>
      </c>
      <c r="T380" t="str">
        <f>TEXT(DATE(2000,BikeData[[#This Row],[mnth]],1),"mmmm")</f>
        <v>January</v>
      </c>
      <c r="U380" t="str">
        <f>IF(BikeData[[#This Row],[workingday]]=1,"Working Day","Non-working Day")</f>
        <v>Non-working Day</v>
      </c>
      <c r="V380" t="str">
        <f>CHOOSE(BikeData[[#This Row],[weekday]]+1,"Sunday","Monday","Tuesday","Wednesday","Thursday","Friday","Saturday")</f>
        <v>Saturday</v>
      </c>
      <c r="W380" t="str">
        <f>CHOOSE(BikeData[[#This Row],[weathersit]],"Clear / Few Clouds","Mist / Cloudy","Light Rain / Snow","Heavy Rain / Snow")</f>
        <v>Clear / Few Clouds</v>
      </c>
    </row>
    <row r="381" spans="1:23" x14ac:dyDescent="0.3">
      <c r="A381">
        <v>380</v>
      </c>
      <c r="B381" s="1">
        <v>40923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0.16666700000000001</v>
      </c>
      <c r="K381">
        <v>0.16162499999999999</v>
      </c>
      <c r="L381">
        <v>0.41916700000000001</v>
      </c>
      <c r="M381">
        <v>0.25125799999999998</v>
      </c>
      <c r="N381">
        <v>284</v>
      </c>
      <c r="O381">
        <v>2027</v>
      </c>
      <c r="P381">
        <v>2311</v>
      </c>
      <c r="Q381" t="str">
        <f>IF(BikeData[[#This Row],[casual]]+BikeData[[#This Row],[registered]]=BikeData[[#This Row],[cnt]],"OK","Check")</f>
        <v>OK</v>
      </c>
      <c r="R381">
        <f>IF(BikeData[[#This Row],[yr]]=0,2011,2012)</f>
        <v>2012</v>
      </c>
      <c r="S381" t="str">
        <f>CHOOSE(BikeData[[#This Row],[season]],"Winter","Spring","Summer","Fall")</f>
        <v>Winter</v>
      </c>
      <c r="T381" t="str">
        <f>TEXT(DATE(2000,BikeData[[#This Row],[mnth]],1),"mmmm")</f>
        <v>January</v>
      </c>
      <c r="U381" t="str">
        <f>IF(BikeData[[#This Row],[workingday]]=1,"Working Day","Non-working Day")</f>
        <v>Non-working Day</v>
      </c>
      <c r="V381" t="str">
        <f>CHOOSE(BikeData[[#This Row],[weekday]]+1,"Sunday","Monday","Tuesday","Wednesday","Thursday","Friday","Saturday")</f>
        <v>Sunday</v>
      </c>
      <c r="W381" t="str">
        <f>CHOOSE(BikeData[[#This Row],[weathersit]],"Clear / Few Clouds","Mist / Cloudy","Light Rain / Snow","Heavy Rain / Snow")</f>
        <v>Clear / Few Clouds</v>
      </c>
    </row>
    <row r="382" spans="1:23" x14ac:dyDescent="0.3">
      <c r="A382">
        <v>381</v>
      </c>
      <c r="B382" s="1">
        <v>40924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0.19</v>
      </c>
      <c r="K382">
        <v>0.190663</v>
      </c>
      <c r="L382">
        <v>0.52249999999999996</v>
      </c>
      <c r="M382">
        <v>0.23135800000000001</v>
      </c>
      <c r="N382">
        <v>217</v>
      </c>
      <c r="O382">
        <v>2081</v>
      </c>
      <c r="P382">
        <v>2298</v>
      </c>
      <c r="Q382" t="str">
        <f>IF(BikeData[[#This Row],[casual]]+BikeData[[#This Row],[registered]]=BikeData[[#This Row],[cnt]],"OK","Check")</f>
        <v>OK</v>
      </c>
      <c r="R382">
        <f>IF(BikeData[[#This Row],[yr]]=0,2011,2012)</f>
        <v>2012</v>
      </c>
      <c r="S382" t="str">
        <f>CHOOSE(BikeData[[#This Row],[season]],"Winter","Spring","Summer","Fall")</f>
        <v>Winter</v>
      </c>
      <c r="T382" t="str">
        <f>TEXT(DATE(2000,BikeData[[#This Row],[mnth]],1),"mmmm")</f>
        <v>January</v>
      </c>
      <c r="U382" t="str">
        <f>IF(BikeData[[#This Row],[workingday]]=1,"Working Day","Non-working Day")</f>
        <v>Non-working Day</v>
      </c>
      <c r="V382" t="str">
        <f>CHOOSE(BikeData[[#This Row],[weekday]]+1,"Sunday","Monday","Tuesday","Wednesday","Thursday","Friday","Saturday")</f>
        <v>Monday</v>
      </c>
      <c r="W382" t="str">
        <f>CHOOSE(BikeData[[#This Row],[weathersit]],"Clear / Few Clouds","Mist / Cloudy","Light Rain / Snow","Heavy Rain / Snow")</f>
        <v>Clear / Few Clouds</v>
      </c>
    </row>
    <row r="383" spans="1:23" x14ac:dyDescent="0.3">
      <c r="A383">
        <v>382</v>
      </c>
      <c r="B383" s="1">
        <v>40925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>
        <v>0.37304300000000001</v>
      </c>
      <c r="K383">
        <v>0.36427799999999999</v>
      </c>
      <c r="L383">
        <v>0.71608700000000003</v>
      </c>
      <c r="M383">
        <v>0.34913</v>
      </c>
      <c r="N383">
        <v>127</v>
      </c>
      <c r="O383">
        <v>2808</v>
      </c>
      <c r="P383">
        <v>2935</v>
      </c>
      <c r="Q383" t="str">
        <f>IF(BikeData[[#This Row],[casual]]+BikeData[[#This Row],[registered]]=BikeData[[#This Row],[cnt]],"OK","Check")</f>
        <v>OK</v>
      </c>
      <c r="R383">
        <f>IF(BikeData[[#This Row],[yr]]=0,2011,2012)</f>
        <v>2012</v>
      </c>
      <c r="S383" t="str">
        <f>CHOOSE(BikeData[[#This Row],[season]],"Winter","Spring","Summer","Fall")</f>
        <v>Winter</v>
      </c>
      <c r="T383" t="str">
        <f>TEXT(DATE(2000,BikeData[[#This Row],[mnth]],1),"mmmm")</f>
        <v>January</v>
      </c>
      <c r="U383" t="str">
        <f>IF(BikeData[[#This Row],[workingday]]=1,"Working Day","Non-working Day")</f>
        <v>Working Day</v>
      </c>
      <c r="V383" t="str">
        <f>CHOOSE(BikeData[[#This Row],[weekday]]+1,"Sunday","Monday","Tuesday","Wednesday","Thursday","Friday","Saturday")</f>
        <v>Tuesday</v>
      </c>
      <c r="W383" t="str">
        <f>CHOOSE(BikeData[[#This Row],[weathersit]],"Clear / Few Clouds","Mist / Cloudy","Light Rain / Snow","Heavy Rain / Snow")</f>
        <v>Mist / Cloudy</v>
      </c>
    </row>
    <row r="384" spans="1:23" x14ac:dyDescent="0.3">
      <c r="A384">
        <v>383</v>
      </c>
      <c r="B384" s="1">
        <v>40926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>
        <v>0.30333300000000002</v>
      </c>
      <c r="K384">
        <v>0.275254</v>
      </c>
      <c r="L384">
        <v>0.44333299999999998</v>
      </c>
      <c r="M384">
        <v>0.41542899999999999</v>
      </c>
      <c r="N384">
        <v>109</v>
      </c>
      <c r="O384">
        <v>3267</v>
      </c>
      <c r="P384">
        <v>3376</v>
      </c>
      <c r="Q384" t="str">
        <f>IF(BikeData[[#This Row],[casual]]+BikeData[[#This Row],[registered]]=BikeData[[#This Row],[cnt]],"OK","Check")</f>
        <v>OK</v>
      </c>
      <c r="R384">
        <f>IF(BikeData[[#This Row],[yr]]=0,2011,2012)</f>
        <v>2012</v>
      </c>
      <c r="S384" t="str">
        <f>CHOOSE(BikeData[[#This Row],[season]],"Winter","Spring","Summer","Fall")</f>
        <v>Winter</v>
      </c>
      <c r="T384" t="str">
        <f>TEXT(DATE(2000,BikeData[[#This Row],[mnth]],1),"mmmm")</f>
        <v>January</v>
      </c>
      <c r="U384" t="str">
        <f>IF(BikeData[[#This Row],[workingday]]=1,"Working Day","Non-working Day")</f>
        <v>Working Day</v>
      </c>
      <c r="V384" t="str">
        <f>CHOOSE(BikeData[[#This Row],[weekday]]+1,"Sunday","Monday","Tuesday","Wednesday","Thursday","Friday","Saturday")</f>
        <v>Wednesday</v>
      </c>
      <c r="W384" t="str">
        <f>CHOOSE(BikeData[[#This Row],[weathersit]],"Clear / Few Clouds","Mist / Cloudy","Light Rain / Snow","Heavy Rain / Snow")</f>
        <v>Clear / Few Clouds</v>
      </c>
    </row>
    <row r="385" spans="1:23" x14ac:dyDescent="0.3">
      <c r="A385">
        <v>384</v>
      </c>
      <c r="B385" s="1">
        <v>40927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>
        <v>0.19</v>
      </c>
      <c r="K385">
        <v>0.19003800000000001</v>
      </c>
      <c r="L385">
        <v>0.4975</v>
      </c>
      <c r="M385">
        <v>0.22015799999999999</v>
      </c>
      <c r="N385">
        <v>130</v>
      </c>
      <c r="O385">
        <v>3162</v>
      </c>
      <c r="P385">
        <v>3292</v>
      </c>
      <c r="Q385" t="str">
        <f>IF(BikeData[[#This Row],[casual]]+BikeData[[#This Row],[registered]]=BikeData[[#This Row],[cnt]],"OK","Check")</f>
        <v>OK</v>
      </c>
      <c r="R385">
        <f>IF(BikeData[[#This Row],[yr]]=0,2011,2012)</f>
        <v>2012</v>
      </c>
      <c r="S385" t="str">
        <f>CHOOSE(BikeData[[#This Row],[season]],"Winter","Spring","Summer","Fall")</f>
        <v>Winter</v>
      </c>
      <c r="T385" t="str">
        <f>TEXT(DATE(2000,BikeData[[#This Row],[mnth]],1),"mmmm")</f>
        <v>January</v>
      </c>
      <c r="U385" t="str">
        <f>IF(BikeData[[#This Row],[workingday]]=1,"Working Day","Non-working Day")</f>
        <v>Working Day</v>
      </c>
      <c r="V385" t="str">
        <f>CHOOSE(BikeData[[#This Row],[weekday]]+1,"Sunday","Monday","Tuesday","Wednesday","Thursday","Friday","Saturday")</f>
        <v>Thursday</v>
      </c>
      <c r="W385" t="str">
        <f>CHOOSE(BikeData[[#This Row],[weathersit]],"Clear / Few Clouds","Mist / Cloudy","Light Rain / Snow","Heavy Rain / Snow")</f>
        <v>Clear / Few Clouds</v>
      </c>
    </row>
    <row r="386" spans="1:23" x14ac:dyDescent="0.3">
      <c r="A386">
        <v>385</v>
      </c>
      <c r="B386" s="1">
        <v>40928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>
        <v>0.2175</v>
      </c>
      <c r="K386">
        <v>0.22095799999999999</v>
      </c>
      <c r="L386">
        <v>0.45</v>
      </c>
      <c r="M386">
        <v>0.20275000000000001</v>
      </c>
      <c r="N386">
        <v>115</v>
      </c>
      <c r="O386">
        <v>3048</v>
      </c>
      <c r="P386">
        <v>3163</v>
      </c>
      <c r="Q386" t="str">
        <f>IF(BikeData[[#This Row],[casual]]+BikeData[[#This Row],[registered]]=BikeData[[#This Row],[cnt]],"OK","Check")</f>
        <v>OK</v>
      </c>
      <c r="R386">
        <f>IF(BikeData[[#This Row],[yr]]=0,2011,2012)</f>
        <v>2012</v>
      </c>
      <c r="S386" t="str">
        <f>CHOOSE(BikeData[[#This Row],[season]],"Winter","Spring","Summer","Fall")</f>
        <v>Winter</v>
      </c>
      <c r="T386" t="str">
        <f>TEXT(DATE(2000,BikeData[[#This Row],[mnth]],1),"mmmm")</f>
        <v>January</v>
      </c>
      <c r="U386" t="str">
        <f>IF(BikeData[[#This Row],[workingday]]=1,"Working Day","Non-working Day")</f>
        <v>Working Day</v>
      </c>
      <c r="V386" t="str">
        <f>CHOOSE(BikeData[[#This Row],[weekday]]+1,"Sunday","Monday","Tuesday","Wednesday","Thursday","Friday","Saturday")</f>
        <v>Friday</v>
      </c>
      <c r="W386" t="str">
        <f>CHOOSE(BikeData[[#This Row],[weathersit]],"Clear / Few Clouds","Mist / Cloudy","Light Rain / Snow","Heavy Rain / Snow")</f>
        <v>Mist / Cloudy</v>
      </c>
    </row>
    <row r="387" spans="1:23" x14ac:dyDescent="0.3">
      <c r="A387">
        <v>386</v>
      </c>
      <c r="B387" s="1">
        <v>40929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>
        <v>0.17333299999999999</v>
      </c>
      <c r="K387">
        <v>0.174875</v>
      </c>
      <c r="L387">
        <v>0.83125000000000004</v>
      </c>
      <c r="M387">
        <v>0.22264200000000001</v>
      </c>
      <c r="N387">
        <v>67</v>
      </c>
      <c r="O387">
        <v>1234</v>
      </c>
      <c r="P387">
        <v>1301</v>
      </c>
      <c r="Q387" t="str">
        <f>IF(BikeData[[#This Row],[casual]]+BikeData[[#This Row],[registered]]=BikeData[[#This Row],[cnt]],"OK","Check")</f>
        <v>OK</v>
      </c>
      <c r="R387">
        <f>IF(BikeData[[#This Row],[yr]]=0,2011,2012)</f>
        <v>2012</v>
      </c>
      <c r="S387" t="str">
        <f>CHOOSE(BikeData[[#This Row],[season]],"Winter","Spring","Summer","Fall")</f>
        <v>Winter</v>
      </c>
      <c r="T387" t="str">
        <f>TEXT(DATE(2000,BikeData[[#This Row],[mnth]],1),"mmmm")</f>
        <v>January</v>
      </c>
      <c r="U387" t="str">
        <f>IF(BikeData[[#This Row],[workingday]]=1,"Working Day","Non-working Day")</f>
        <v>Non-working Day</v>
      </c>
      <c r="V387" t="str">
        <f>CHOOSE(BikeData[[#This Row],[weekday]]+1,"Sunday","Monday","Tuesday","Wednesday","Thursday","Friday","Saturday")</f>
        <v>Saturday</v>
      </c>
      <c r="W387" t="str">
        <f>CHOOSE(BikeData[[#This Row],[weathersit]],"Clear / Few Clouds","Mist / Cloudy","Light Rain / Snow","Heavy Rain / Snow")</f>
        <v>Mist / Cloudy</v>
      </c>
    </row>
    <row r="388" spans="1:23" x14ac:dyDescent="0.3">
      <c r="A388">
        <v>387</v>
      </c>
      <c r="B388" s="1">
        <v>40930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>
        <v>0.16250000000000001</v>
      </c>
      <c r="K388">
        <v>0.16225000000000001</v>
      </c>
      <c r="L388">
        <v>0.79625000000000001</v>
      </c>
      <c r="M388">
        <v>0.19963800000000001</v>
      </c>
      <c r="N388">
        <v>196</v>
      </c>
      <c r="O388">
        <v>1781</v>
      </c>
      <c r="P388">
        <v>1977</v>
      </c>
      <c r="Q388" t="str">
        <f>IF(BikeData[[#This Row],[casual]]+BikeData[[#This Row],[registered]]=BikeData[[#This Row],[cnt]],"OK","Check")</f>
        <v>OK</v>
      </c>
      <c r="R388">
        <f>IF(BikeData[[#This Row],[yr]]=0,2011,2012)</f>
        <v>2012</v>
      </c>
      <c r="S388" t="str">
        <f>CHOOSE(BikeData[[#This Row],[season]],"Winter","Spring","Summer","Fall")</f>
        <v>Winter</v>
      </c>
      <c r="T388" t="str">
        <f>TEXT(DATE(2000,BikeData[[#This Row],[mnth]],1),"mmmm")</f>
        <v>January</v>
      </c>
      <c r="U388" t="str">
        <f>IF(BikeData[[#This Row],[workingday]]=1,"Working Day","Non-working Day")</f>
        <v>Non-working Day</v>
      </c>
      <c r="V388" t="str">
        <f>CHOOSE(BikeData[[#This Row],[weekday]]+1,"Sunday","Monday","Tuesday","Wednesday","Thursday","Friday","Saturday")</f>
        <v>Sunday</v>
      </c>
      <c r="W388" t="str">
        <f>CHOOSE(BikeData[[#This Row],[weathersit]],"Clear / Few Clouds","Mist / Cloudy","Light Rain / Snow","Heavy Rain / Snow")</f>
        <v>Mist / Cloudy</v>
      </c>
    </row>
    <row r="389" spans="1:23" x14ac:dyDescent="0.3">
      <c r="A389">
        <v>388</v>
      </c>
      <c r="B389" s="1">
        <v>40931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>
        <v>0.218333</v>
      </c>
      <c r="K389">
        <v>0.243058</v>
      </c>
      <c r="L389">
        <v>0.91125</v>
      </c>
      <c r="M389">
        <v>0.110708</v>
      </c>
      <c r="N389">
        <v>145</v>
      </c>
      <c r="O389">
        <v>2287</v>
      </c>
      <c r="P389">
        <v>2432</v>
      </c>
      <c r="Q389" t="str">
        <f>IF(BikeData[[#This Row],[casual]]+BikeData[[#This Row],[registered]]=BikeData[[#This Row],[cnt]],"OK","Check")</f>
        <v>OK</v>
      </c>
      <c r="R389">
        <f>IF(BikeData[[#This Row],[yr]]=0,2011,2012)</f>
        <v>2012</v>
      </c>
      <c r="S389" t="str">
        <f>CHOOSE(BikeData[[#This Row],[season]],"Winter","Spring","Summer","Fall")</f>
        <v>Winter</v>
      </c>
      <c r="T389" t="str">
        <f>TEXT(DATE(2000,BikeData[[#This Row],[mnth]],1),"mmmm")</f>
        <v>January</v>
      </c>
      <c r="U389" t="str">
        <f>IF(BikeData[[#This Row],[workingday]]=1,"Working Day","Non-working Day")</f>
        <v>Working Day</v>
      </c>
      <c r="V389" t="str">
        <f>CHOOSE(BikeData[[#This Row],[weekday]]+1,"Sunday","Monday","Tuesday","Wednesday","Thursday","Friday","Saturday")</f>
        <v>Monday</v>
      </c>
      <c r="W389" t="str">
        <f>CHOOSE(BikeData[[#This Row],[weathersit]],"Clear / Few Clouds","Mist / Cloudy","Light Rain / Snow","Heavy Rain / Snow")</f>
        <v>Mist / Cloudy</v>
      </c>
    </row>
    <row r="390" spans="1:23" x14ac:dyDescent="0.3">
      <c r="A390">
        <v>389</v>
      </c>
      <c r="B390" s="1">
        <v>40932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>
        <v>0.34250000000000003</v>
      </c>
      <c r="K390">
        <v>0.34910799999999997</v>
      </c>
      <c r="L390">
        <v>0.83583300000000005</v>
      </c>
      <c r="M390">
        <v>0.123767</v>
      </c>
      <c r="N390">
        <v>439</v>
      </c>
      <c r="O390">
        <v>3900</v>
      </c>
      <c r="P390">
        <v>4339</v>
      </c>
      <c r="Q390" t="str">
        <f>IF(BikeData[[#This Row],[casual]]+BikeData[[#This Row],[registered]]=BikeData[[#This Row],[cnt]],"OK","Check")</f>
        <v>OK</v>
      </c>
      <c r="R390">
        <f>IF(BikeData[[#This Row],[yr]]=0,2011,2012)</f>
        <v>2012</v>
      </c>
      <c r="S390" t="str">
        <f>CHOOSE(BikeData[[#This Row],[season]],"Winter","Spring","Summer","Fall")</f>
        <v>Winter</v>
      </c>
      <c r="T390" t="str">
        <f>TEXT(DATE(2000,BikeData[[#This Row],[mnth]],1),"mmmm")</f>
        <v>January</v>
      </c>
      <c r="U390" t="str">
        <f>IF(BikeData[[#This Row],[workingday]]=1,"Working Day","Non-working Day")</f>
        <v>Working Day</v>
      </c>
      <c r="V390" t="str">
        <f>CHOOSE(BikeData[[#This Row],[weekday]]+1,"Sunday","Monday","Tuesday","Wednesday","Thursday","Friday","Saturday")</f>
        <v>Tuesday</v>
      </c>
      <c r="W390" t="str">
        <f>CHOOSE(BikeData[[#This Row],[weathersit]],"Clear / Few Clouds","Mist / Cloudy","Light Rain / Snow","Heavy Rain / Snow")</f>
        <v>Clear / Few Clouds</v>
      </c>
    </row>
    <row r="391" spans="1:23" x14ac:dyDescent="0.3">
      <c r="A391">
        <v>390</v>
      </c>
      <c r="B391" s="1">
        <v>40933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>
        <v>0.29416700000000001</v>
      </c>
      <c r="K391">
        <v>0.294821</v>
      </c>
      <c r="L391">
        <v>0.64375000000000004</v>
      </c>
      <c r="M391">
        <v>0.16107099999999999</v>
      </c>
      <c r="N391">
        <v>467</v>
      </c>
      <c r="O391">
        <v>3803</v>
      </c>
      <c r="P391">
        <v>4270</v>
      </c>
      <c r="Q391" t="str">
        <f>IF(BikeData[[#This Row],[casual]]+BikeData[[#This Row],[registered]]=BikeData[[#This Row],[cnt]],"OK","Check")</f>
        <v>OK</v>
      </c>
      <c r="R391">
        <f>IF(BikeData[[#This Row],[yr]]=0,2011,2012)</f>
        <v>2012</v>
      </c>
      <c r="S391" t="str">
        <f>CHOOSE(BikeData[[#This Row],[season]],"Winter","Spring","Summer","Fall")</f>
        <v>Winter</v>
      </c>
      <c r="T391" t="str">
        <f>TEXT(DATE(2000,BikeData[[#This Row],[mnth]],1),"mmmm")</f>
        <v>January</v>
      </c>
      <c r="U391" t="str">
        <f>IF(BikeData[[#This Row],[workingday]]=1,"Working Day","Non-working Day")</f>
        <v>Working Day</v>
      </c>
      <c r="V391" t="str">
        <f>CHOOSE(BikeData[[#This Row],[weekday]]+1,"Sunday","Monday","Tuesday","Wednesday","Thursday","Friday","Saturday")</f>
        <v>Wednesday</v>
      </c>
      <c r="W391" t="str">
        <f>CHOOSE(BikeData[[#This Row],[weathersit]],"Clear / Few Clouds","Mist / Cloudy","Light Rain / Snow","Heavy Rain / Snow")</f>
        <v>Clear / Few Clouds</v>
      </c>
    </row>
    <row r="392" spans="1:23" x14ac:dyDescent="0.3">
      <c r="A392">
        <v>391</v>
      </c>
      <c r="B392" s="1">
        <v>40934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>
        <v>0.341667</v>
      </c>
      <c r="K392">
        <v>0.35604999999999998</v>
      </c>
      <c r="L392">
        <v>0.76958300000000002</v>
      </c>
      <c r="M392">
        <v>7.3395799999999997E-2</v>
      </c>
      <c r="N392">
        <v>244</v>
      </c>
      <c r="O392">
        <v>3831</v>
      </c>
      <c r="P392">
        <v>4075</v>
      </c>
      <c r="Q392" t="str">
        <f>IF(BikeData[[#This Row],[casual]]+BikeData[[#This Row],[registered]]=BikeData[[#This Row],[cnt]],"OK","Check")</f>
        <v>OK</v>
      </c>
      <c r="R392">
        <f>IF(BikeData[[#This Row],[yr]]=0,2011,2012)</f>
        <v>2012</v>
      </c>
      <c r="S392" t="str">
        <f>CHOOSE(BikeData[[#This Row],[season]],"Winter","Spring","Summer","Fall")</f>
        <v>Winter</v>
      </c>
      <c r="T392" t="str">
        <f>TEXT(DATE(2000,BikeData[[#This Row],[mnth]],1),"mmmm")</f>
        <v>January</v>
      </c>
      <c r="U392" t="str">
        <f>IF(BikeData[[#This Row],[workingday]]=1,"Working Day","Non-working Day")</f>
        <v>Working Day</v>
      </c>
      <c r="V392" t="str">
        <f>CHOOSE(BikeData[[#This Row],[weekday]]+1,"Sunday","Monday","Tuesday","Wednesday","Thursday","Friday","Saturday")</f>
        <v>Thursday</v>
      </c>
      <c r="W392" t="str">
        <f>CHOOSE(BikeData[[#This Row],[weathersit]],"Clear / Few Clouds","Mist / Cloudy","Light Rain / Snow","Heavy Rain / Snow")</f>
        <v>Mist / Cloudy</v>
      </c>
    </row>
    <row r="393" spans="1:23" x14ac:dyDescent="0.3">
      <c r="A393">
        <v>392</v>
      </c>
      <c r="B393" s="1">
        <v>40935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>
        <v>0.42499999999999999</v>
      </c>
      <c r="K393">
        <v>0.415383</v>
      </c>
      <c r="L393">
        <v>0.74124999999999996</v>
      </c>
      <c r="M393">
        <v>0.342667</v>
      </c>
      <c r="N393">
        <v>269</v>
      </c>
      <c r="O393">
        <v>3187</v>
      </c>
      <c r="P393">
        <v>3456</v>
      </c>
      <c r="Q393" t="str">
        <f>IF(BikeData[[#This Row],[casual]]+BikeData[[#This Row],[registered]]=BikeData[[#This Row],[cnt]],"OK","Check")</f>
        <v>OK</v>
      </c>
      <c r="R393">
        <f>IF(BikeData[[#This Row],[yr]]=0,2011,2012)</f>
        <v>2012</v>
      </c>
      <c r="S393" t="str">
        <f>CHOOSE(BikeData[[#This Row],[season]],"Winter","Spring","Summer","Fall")</f>
        <v>Winter</v>
      </c>
      <c r="T393" t="str">
        <f>TEXT(DATE(2000,BikeData[[#This Row],[mnth]],1),"mmmm")</f>
        <v>January</v>
      </c>
      <c r="U393" t="str">
        <f>IF(BikeData[[#This Row],[workingday]]=1,"Working Day","Non-working Day")</f>
        <v>Working Day</v>
      </c>
      <c r="V393" t="str">
        <f>CHOOSE(BikeData[[#This Row],[weekday]]+1,"Sunday","Monday","Tuesday","Wednesday","Thursday","Friday","Saturday")</f>
        <v>Friday</v>
      </c>
      <c r="W393" t="str">
        <f>CHOOSE(BikeData[[#This Row],[weathersit]],"Clear / Few Clouds","Mist / Cloudy","Light Rain / Snow","Heavy Rain / Snow")</f>
        <v>Mist / Cloudy</v>
      </c>
    </row>
    <row r="394" spans="1:23" x14ac:dyDescent="0.3">
      <c r="A394">
        <v>393</v>
      </c>
      <c r="B394" s="1">
        <v>40936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>
        <v>0.31583299999999997</v>
      </c>
      <c r="K394">
        <v>0.32637899999999997</v>
      </c>
      <c r="L394">
        <v>0.54333299999999995</v>
      </c>
      <c r="M394">
        <v>0.21082899999999999</v>
      </c>
      <c r="N394">
        <v>775</v>
      </c>
      <c r="O394">
        <v>3248</v>
      </c>
      <c r="P394">
        <v>4023</v>
      </c>
      <c r="Q394" t="str">
        <f>IF(BikeData[[#This Row],[casual]]+BikeData[[#This Row],[registered]]=BikeData[[#This Row],[cnt]],"OK","Check")</f>
        <v>OK</v>
      </c>
      <c r="R394">
        <f>IF(BikeData[[#This Row],[yr]]=0,2011,2012)</f>
        <v>2012</v>
      </c>
      <c r="S394" t="str">
        <f>CHOOSE(BikeData[[#This Row],[season]],"Winter","Spring","Summer","Fall")</f>
        <v>Winter</v>
      </c>
      <c r="T394" t="str">
        <f>TEXT(DATE(2000,BikeData[[#This Row],[mnth]],1),"mmmm")</f>
        <v>January</v>
      </c>
      <c r="U394" t="str">
        <f>IF(BikeData[[#This Row],[workingday]]=1,"Working Day","Non-working Day")</f>
        <v>Non-working Day</v>
      </c>
      <c r="V394" t="str">
        <f>CHOOSE(BikeData[[#This Row],[weekday]]+1,"Sunday","Monday","Tuesday","Wednesday","Thursday","Friday","Saturday")</f>
        <v>Saturday</v>
      </c>
      <c r="W394" t="str">
        <f>CHOOSE(BikeData[[#This Row],[weathersit]],"Clear / Few Clouds","Mist / Cloudy","Light Rain / Snow","Heavy Rain / Snow")</f>
        <v>Clear / Few Clouds</v>
      </c>
    </row>
    <row r="395" spans="1:23" x14ac:dyDescent="0.3">
      <c r="A395">
        <v>394</v>
      </c>
      <c r="B395" s="1">
        <v>40937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0.28249999999999997</v>
      </c>
      <c r="K395">
        <v>0.27272099999999999</v>
      </c>
      <c r="L395">
        <v>0.31125000000000003</v>
      </c>
      <c r="M395">
        <v>0.24005000000000001</v>
      </c>
      <c r="N395">
        <v>558</v>
      </c>
      <c r="O395">
        <v>2685</v>
      </c>
      <c r="P395">
        <v>3243</v>
      </c>
      <c r="Q395" t="str">
        <f>IF(BikeData[[#This Row],[casual]]+BikeData[[#This Row],[registered]]=BikeData[[#This Row],[cnt]],"OK","Check")</f>
        <v>OK</v>
      </c>
      <c r="R395">
        <f>IF(BikeData[[#This Row],[yr]]=0,2011,2012)</f>
        <v>2012</v>
      </c>
      <c r="S395" t="str">
        <f>CHOOSE(BikeData[[#This Row],[season]],"Winter","Spring","Summer","Fall")</f>
        <v>Winter</v>
      </c>
      <c r="T395" t="str">
        <f>TEXT(DATE(2000,BikeData[[#This Row],[mnth]],1),"mmmm")</f>
        <v>January</v>
      </c>
      <c r="U395" t="str">
        <f>IF(BikeData[[#This Row],[workingday]]=1,"Working Day","Non-working Day")</f>
        <v>Non-working Day</v>
      </c>
      <c r="V395" t="str">
        <f>CHOOSE(BikeData[[#This Row],[weekday]]+1,"Sunday","Monday","Tuesday","Wednesday","Thursday","Friday","Saturday")</f>
        <v>Sunday</v>
      </c>
      <c r="W395" t="str">
        <f>CHOOSE(BikeData[[#This Row],[weathersit]],"Clear / Few Clouds","Mist / Cloudy","Light Rain / Snow","Heavy Rain / Snow")</f>
        <v>Clear / Few Clouds</v>
      </c>
    </row>
    <row r="396" spans="1:23" x14ac:dyDescent="0.3">
      <c r="A396">
        <v>395</v>
      </c>
      <c r="B396" s="1">
        <v>40938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0.26916699999999999</v>
      </c>
      <c r="K396">
        <v>0.262625</v>
      </c>
      <c r="L396">
        <v>0.40083299999999999</v>
      </c>
      <c r="M396">
        <v>0.21579200000000001</v>
      </c>
      <c r="N396">
        <v>126</v>
      </c>
      <c r="O396">
        <v>3498</v>
      </c>
      <c r="P396">
        <v>3624</v>
      </c>
      <c r="Q396" t="str">
        <f>IF(BikeData[[#This Row],[casual]]+BikeData[[#This Row],[registered]]=BikeData[[#This Row],[cnt]],"OK","Check")</f>
        <v>OK</v>
      </c>
      <c r="R396">
        <f>IF(BikeData[[#This Row],[yr]]=0,2011,2012)</f>
        <v>2012</v>
      </c>
      <c r="S396" t="str">
        <f>CHOOSE(BikeData[[#This Row],[season]],"Winter","Spring","Summer","Fall")</f>
        <v>Winter</v>
      </c>
      <c r="T396" t="str">
        <f>TEXT(DATE(2000,BikeData[[#This Row],[mnth]],1),"mmmm")</f>
        <v>January</v>
      </c>
      <c r="U396" t="str">
        <f>IF(BikeData[[#This Row],[workingday]]=1,"Working Day","Non-working Day")</f>
        <v>Working Day</v>
      </c>
      <c r="V396" t="str">
        <f>CHOOSE(BikeData[[#This Row],[weekday]]+1,"Sunday","Monday","Tuesday","Wednesday","Thursday","Friday","Saturday")</f>
        <v>Monday</v>
      </c>
      <c r="W396" t="str">
        <f>CHOOSE(BikeData[[#This Row],[weathersit]],"Clear / Few Clouds","Mist / Cloudy","Light Rain / Snow","Heavy Rain / Snow")</f>
        <v>Clear / Few Clouds</v>
      </c>
    </row>
    <row r="397" spans="1:23" x14ac:dyDescent="0.3">
      <c r="A397">
        <v>396</v>
      </c>
      <c r="B397" s="1">
        <v>40939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>
        <v>0.39</v>
      </c>
      <c r="K397">
        <v>0.38131700000000002</v>
      </c>
      <c r="L397">
        <v>0.41666700000000001</v>
      </c>
      <c r="M397">
        <v>0.26181700000000002</v>
      </c>
      <c r="N397">
        <v>324</v>
      </c>
      <c r="O397">
        <v>4185</v>
      </c>
      <c r="P397">
        <v>4509</v>
      </c>
      <c r="Q397" t="str">
        <f>IF(BikeData[[#This Row],[casual]]+BikeData[[#This Row],[registered]]=BikeData[[#This Row],[cnt]],"OK","Check")</f>
        <v>OK</v>
      </c>
      <c r="R397">
        <f>IF(BikeData[[#This Row],[yr]]=0,2011,2012)</f>
        <v>2012</v>
      </c>
      <c r="S397" t="str">
        <f>CHOOSE(BikeData[[#This Row],[season]],"Winter","Spring","Summer","Fall")</f>
        <v>Winter</v>
      </c>
      <c r="T397" t="str">
        <f>TEXT(DATE(2000,BikeData[[#This Row],[mnth]],1),"mmmm")</f>
        <v>January</v>
      </c>
      <c r="U397" t="str">
        <f>IF(BikeData[[#This Row],[workingday]]=1,"Working Day","Non-working Day")</f>
        <v>Working Day</v>
      </c>
      <c r="V397" t="str">
        <f>CHOOSE(BikeData[[#This Row],[weekday]]+1,"Sunday","Monday","Tuesday","Wednesday","Thursday","Friday","Saturday")</f>
        <v>Tuesday</v>
      </c>
      <c r="W397" t="str">
        <f>CHOOSE(BikeData[[#This Row],[weathersit]],"Clear / Few Clouds","Mist / Cloudy","Light Rain / Snow","Heavy Rain / Snow")</f>
        <v>Clear / Few Clouds</v>
      </c>
    </row>
    <row r="398" spans="1:23" x14ac:dyDescent="0.3">
      <c r="A398">
        <v>397</v>
      </c>
      <c r="B398" s="1">
        <v>40940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>
        <v>0.469167</v>
      </c>
      <c r="K398">
        <v>0.46653800000000001</v>
      </c>
      <c r="L398">
        <v>0.50791699999999995</v>
      </c>
      <c r="M398">
        <v>0.18906700000000001</v>
      </c>
      <c r="N398">
        <v>304</v>
      </c>
      <c r="O398">
        <v>4275</v>
      </c>
      <c r="P398">
        <v>4579</v>
      </c>
      <c r="Q398" t="str">
        <f>IF(BikeData[[#This Row],[casual]]+BikeData[[#This Row],[registered]]=BikeData[[#This Row],[cnt]],"OK","Check")</f>
        <v>OK</v>
      </c>
      <c r="R398">
        <f>IF(BikeData[[#This Row],[yr]]=0,2011,2012)</f>
        <v>2012</v>
      </c>
      <c r="S398" t="str">
        <f>CHOOSE(BikeData[[#This Row],[season]],"Winter","Spring","Summer","Fall")</f>
        <v>Winter</v>
      </c>
      <c r="T398" t="str">
        <f>TEXT(DATE(2000,BikeData[[#This Row],[mnth]],1),"mmmm")</f>
        <v>February</v>
      </c>
      <c r="U398" t="str">
        <f>IF(BikeData[[#This Row],[workingday]]=1,"Working Day","Non-working Day")</f>
        <v>Working Day</v>
      </c>
      <c r="V398" t="str">
        <f>CHOOSE(BikeData[[#This Row],[weekday]]+1,"Sunday","Monday","Tuesday","Wednesday","Thursday","Friday","Saturday")</f>
        <v>Wednesday</v>
      </c>
      <c r="W398" t="str">
        <f>CHOOSE(BikeData[[#This Row],[weathersit]],"Clear / Few Clouds","Mist / Cloudy","Light Rain / Snow","Heavy Rain / Snow")</f>
        <v>Clear / Few Clouds</v>
      </c>
    </row>
    <row r="399" spans="1:23" x14ac:dyDescent="0.3">
      <c r="A399">
        <v>398</v>
      </c>
      <c r="B399" s="1">
        <v>40941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>
        <v>0.39916699999999999</v>
      </c>
      <c r="K399">
        <v>0.39897100000000002</v>
      </c>
      <c r="L399">
        <v>0.67291699999999999</v>
      </c>
      <c r="M399">
        <v>0.18718699999999999</v>
      </c>
      <c r="N399">
        <v>190</v>
      </c>
      <c r="O399">
        <v>3571</v>
      </c>
      <c r="P399">
        <v>3761</v>
      </c>
      <c r="Q399" t="str">
        <f>IF(BikeData[[#This Row],[casual]]+BikeData[[#This Row],[registered]]=BikeData[[#This Row],[cnt]],"OK","Check")</f>
        <v>OK</v>
      </c>
      <c r="R399">
        <f>IF(BikeData[[#This Row],[yr]]=0,2011,2012)</f>
        <v>2012</v>
      </c>
      <c r="S399" t="str">
        <f>CHOOSE(BikeData[[#This Row],[season]],"Winter","Spring","Summer","Fall")</f>
        <v>Winter</v>
      </c>
      <c r="T399" t="str">
        <f>TEXT(DATE(2000,BikeData[[#This Row],[mnth]],1),"mmmm")</f>
        <v>February</v>
      </c>
      <c r="U399" t="str">
        <f>IF(BikeData[[#This Row],[workingday]]=1,"Working Day","Non-working Day")</f>
        <v>Working Day</v>
      </c>
      <c r="V399" t="str">
        <f>CHOOSE(BikeData[[#This Row],[weekday]]+1,"Sunday","Monday","Tuesday","Wednesday","Thursday","Friday","Saturday")</f>
        <v>Thursday</v>
      </c>
      <c r="W399" t="str">
        <f>CHOOSE(BikeData[[#This Row],[weathersit]],"Clear / Few Clouds","Mist / Cloudy","Light Rain / Snow","Heavy Rain / Snow")</f>
        <v>Mist / Cloudy</v>
      </c>
    </row>
    <row r="400" spans="1:23" x14ac:dyDescent="0.3">
      <c r="A400">
        <v>399</v>
      </c>
      <c r="B400" s="1">
        <v>40942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>
        <v>0.31333299999999997</v>
      </c>
      <c r="K400">
        <v>0.30934600000000001</v>
      </c>
      <c r="L400">
        <v>0.526667</v>
      </c>
      <c r="M400">
        <v>0.17849599999999999</v>
      </c>
      <c r="N400">
        <v>310</v>
      </c>
      <c r="O400">
        <v>3841</v>
      </c>
      <c r="P400">
        <v>4151</v>
      </c>
      <c r="Q400" t="str">
        <f>IF(BikeData[[#This Row],[casual]]+BikeData[[#This Row],[registered]]=BikeData[[#This Row],[cnt]],"OK","Check")</f>
        <v>OK</v>
      </c>
      <c r="R400">
        <f>IF(BikeData[[#This Row],[yr]]=0,2011,2012)</f>
        <v>2012</v>
      </c>
      <c r="S400" t="str">
        <f>CHOOSE(BikeData[[#This Row],[season]],"Winter","Spring","Summer","Fall")</f>
        <v>Winter</v>
      </c>
      <c r="T400" t="str">
        <f>TEXT(DATE(2000,BikeData[[#This Row],[mnth]],1),"mmmm")</f>
        <v>February</v>
      </c>
      <c r="U400" t="str">
        <f>IF(BikeData[[#This Row],[workingday]]=1,"Working Day","Non-working Day")</f>
        <v>Working Day</v>
      </c>
      <c r="V400" t="str">
        <f>CHOOSE(BikeData[[#This Row],[weekday]]+1,"Sunday","Monday","Tuesday","Wednesday","Thursday","Friday","Saturday")</f>
        <v>Friday</v>
      </c>
      <c r="W400" t="str">
        <f>CHOOSE(BikeData[[#This Row],[weathersit]],"Clear / Few Clouds","Mist / Cloudy","Light Rain / Snow","Heavy Rain / Snow")</f>
        <v>Clear / Few Clouds</v>
      </c>
    </row>
    <row r="401" spans="1:23" x14ac:dyDescent="0.3">
      <c r="A401">
        <v>400</v>
      </c>
      <c r="B401" s="1">
        <v>40943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>
        <v>0.26416699999999999</v>
      </c>
      <c r="K401">
        <v>0.272725</v>
      </c>
      <c r="L401">
        <v>0.77958300000000003</v>
      </c>
      <c r="M401">
        <v>0.121896</v>
      </c>
      <c r="N401">
        <v>384</v>
      </c>
      <c r="O401">
        <v>2448</v>
      </c>
      <c r="P401">
        <v>2832</v>
      </c>
      <c r="Q401" t="str">
        <f>IF(BikeData[[#This Row],[casual]]+BikeData[[#This Row],[registered]]=BikeData[[#This Row],[cnt]],"OK","Check")</f>
        <v>OK</v>
      </c>
      <c r="R401">
        <f>IF(BikeData[[#This Row],[yr]]=0,2011,2012)</f>
        <v>2012</v>
      </c>
      <c r="S401" t="str">
        <f>CHOOSE(BikeData[[#This Row],[season]],"Winter","Spring","Summer","Fall")</f>
        <v>Winter</v>
      </c>
      <c r="T401" t="str">
        <f>TEXT(DATE(2000,BikeData[[#This Row],[mnth]],1),"mmmm")</f>
        <v>February</v>
      </c>
      <c r="U401" t="str">
        <f>IF(BikeData[[#This Row],[workingday]]=1,"Working Day","Non-working Day")</f>
        <v>Non-working Day</v>
      </c>
      <c r="V401" t="str">
        <f>CHOOSE(BikeData[[#This Row],[weekday]]+1,"Sunday","Monday","Tuesday","Wednesday","Thursday","Friday","Saturday")</f>
        <v>Saturday</v>
      </c>
      <c r="W401" t="str">
        <f>CHOOSE(BikeData[[#This Row],[weathersit]],"Clear / Few Clouds","Mist / Cloudy","Light Rain / Snow","Heavy Rain / Snow")</f>
        <v>Mist / Cloudy</v>
      </c>
    </row>
    <row r="402" spans="1:23" x14ac:dyDescent="0.3">
      <c r="A402">
        <v>401</v>
      </c>
      <c r="B402" s="1">
        <v>40944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0.26583299999999999</v>
      </c>
      <c r="K402">
        <v>0.26452100000000001</v>
      </c>
      <c r="L402">
        <v>0.687917</v>
      </c>
      <c r="M402">
        <v>0.17599600000000001</v>
      </c>
      <c r="N402">
        <v>318</v>
      </c>
      <c r="O402">
        <v>2629</v>
      </c>
      <c r="P402">
        <v>2947</v>
      </c>
      <c r="Q402" t="str">
        <f>IF(BikeData[[#This Row],[casual]]+BikeData[[#This Row],[registered]]=BikeData[[#This Row],[cnt]],"OK","Check")</f>
        <v>OK</v>
      </c>
      <c r="R402">
        <f>IF(BikeData[[#This Row],[yr]]=0,2011,2012)</f>
        <v>2012</v>
      </c>
      <c r="S402" t="str">
        <f>CHOOSE(BikeData[[#This Row],[season]],"Winter","Spring","Summer","Fall")</f>
        <v>Winter</v>
      </c>
      <c r="T402" t="str">
        <f>TEXT(DATE(2000,BikeData[[#This Row],[mnth]],1),"mmmm")</f>
        <v>February</v>
      </c>
      <c r="U402" t="str">
        <f>IF(BikeData[[#This Row],[workingday]]=1,"Working Day","Non-working Day")</f>
        <v>Non-working Day</v>
      </c>
      <c r="V402" t="str">
        <f>CHOOSE(BikeData[[#This Row],[weekday]]+1,"Sunday","Monday","Tuesday","Wednesday","Thursday","Friday","Saturday")</f>
        <v>Sunday</v>
      </c>
      <c r="W402" t="str">
        <f>CHOOSE(BikeData[[#This Row],[weathersit]],"Clear / Few Clouds","Mist / Cloudy","Light Rain / Snow","Heavy Rain / Snow")</f>
        <v>Mist / Cloudy</v>
      </c>
    </row>
    <row r="403" spans="1:23" x14ac:dyDescent="0.3">
      <c r="A403">
        <v>402</v>
      </c>
      <c r="B403" s="1">
        <v>40945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>
        <v>0.282609</v>
      </c>
      <c r="K403">
        <v>0.29642600000000002</v>
      </c>
      <c r="L403">
        <v>0.622174</v>
      </c>
      <c r="M403">
        <v>0.15379999999999999</v>
      </c>
      <c r="N403">
        <v>206</v>
      </c>
      <c r="O403">
        <v>3578</v>
      </c>
      <c r="P403">
        <v>3784</v>
      </c>
      <c r="Q403" t="str">
        <f>IF(BikeData[[#This Row],[casual]]+BikeData[[#This Row],[registered]]=BikeData[[#This Row],[cnt]],"OK","Check")</f>
        <v>OK</v>
      </c>
      <c r="R403">
        <f>IF(BikeData[[#This Row],[yr]]=0,2011,2012)</f>
        <v>2012</v>
      </c>
      <c r="S403" t="str">
        <f>CHOOSE(BikeData[[#This Row],[season]],"Winter","Spring","Summer","Fall")</f>
        <v>Winter</v>
      </c>
      <c r="T403" t="str">
        <f>TEXT(DATE(2000,BikeData[[#This Row],[mnth]],1),"mmmm")</f>
        <v>February</v>
      </c>
      <c r="U403" t="str">
        <f>IF(BikeData[[#This Row],[workingday]]=1,"Working Day","Non-working Day")</f>
        <v>Working Day</v>
      </c>
      <c r="V403" t="str">
        <f>CHOOSE(BikeData[[#This Row],[weekday]]+1,"Sunday","Monday","Tuesday","Wednesday","Thursday","Friday","Saturday")</f>
        <v>Monday</v>
      </c>
      <c r="W403" t="str">
        <f>CHOOSE(BikeData[[#This Row],[weathersit]],"Clear / Few Clouds","Mist / Cloudy","Light Rain / Snow","Heavy Rain / Snow")</f>
        <v>Clear / Few Clouds</v>
      </c>
    </row>
    <row r="404" spans="1:23" x14ac:dyDescent="0.3">
      <c r="A404">
        <v>403</v>
      </c>
      <c r="B404" s="1">
        <v>40946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>
        <v>0.35416700000000001</v>
      </c>
      <c r="K404">
        <v>0.36110399999999998</v>
      </c>
      <c r="L404">
        <v>0.49625000000000002</v>
      </c>
      <c r="M404">
        <v>0.14737900000000001</v>
      </c>
      <c r="N404">
        <v>199</v>
      </c>
      <c r="O404">
        <v>4176</v>
      </c>
      <c r="P404">
        <v>4375</v>
      </c>
      <c r="Q404" t="str">
        <f>IF(BikeData[[#This Row],[casual]]+BikeData[[#This Row],[registered]]=BikeData[[#This Row],[cnt]],"OK","Check")</f>
        <v>OK</v>
      </c>
      <c r="R404">
        <f>IF(BikeData[[#This Row],[yr]]=0,2011,2012)</f>
        <v>2012</v>
      </c>
      <c r="S404" t="str">
        <f>CHOOSE(BikeData[[#This Row],[season]],"Winter","Spring","Summer","Fall")</f>
        <v>Winter</v>
      </c>
      <c r="T404" t="str">
        <f>TEXT(DATE(2000,BikeData[[#This Row],[mnth]],1),"mmmm")</f>
        <v>February</v>
      </c>
      <c r="U404" t="str">
        <f>IF(BikeData[[#This Row],[workingday]]=1,"Working Day","Non-working Day")</f>
        <v>Working Day</v>
      </c>
      <c r="V404" t="str">
        <f>CHOOSE(BikeData[[#This Row],[weekday]]+1,"Sunday","Monday","Tuesday","Wednesday","Thursday","Friday","Saturday")</f>
        <v>Tuesday</v>
      </c>
      <c r="W404" t="str">
        <f>CHOOSE(BikeData[[#This Row],[weathersit]],"Clear / Few Clouds","Mist / Cloudy","Light Rain / Snow","Heavy Rain / Snow")</f>
        <v>Clear / Few Clouds</v>
      </c>
    </row>
    <row r="405" spans="1:23" x14ac:dyDescent="0.3">
      <c r="A405">
        <v>404</v>
      </c>
      <c r="B405" s="1">
        <v>40947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>
        <v>0.25666699999999998</v>
      </c>
      <c r="K405">
        <v>0.26642100000000002</v>
      </c>
      <c r="L405">
        <v>0.72291700000000003</v>
      </c>
      <c r="M405">
        <v>0.13372100000000001</v>
      </c>
      <c r="N405">
        <v>109</v>
      </c>
      <c r="O405">
        <v>2693</v>
      </c>
      <c r="P405">
        <v>2802</v>
      </c>
      <c r="Q405" t="str">
        <f>IF(BikeData[[#This Row],[casual]]+BikeData[[#This Row],[registered]]=BikeData[[#This Row],[cnt]],"OK","Check")</f>
        <v>OK</v>
      </c>
      <c r="R405">
        <f>IF(BikeData[[#This Row],[yr]]=0,2011,2012)</f>
        <v>2012</v>
      </c>
      <c r="S405" t="str">
        <f>CHOOSE(BikeData[[#This Row],[season]],"Winter","Spring","Summer","Fall")</f>
        <v>Winter</v>
      </c>
      <c r="T405" t="str">
        <f>TEXT(DATE(2000,BikeData[[#This Row],[mnth]],1),"mmmm")</f>
        <v>February</v>
      </c>
      <c r="U405" t="str">
        <f>IF(BikeData[[#This Row],[workingday]]=1,"Working Day","Non-working Day")</f>
        <v>Working Day</v>
      </c>
      <c r="V405" t="str">
        <f>CHOOSE(BikeData[[#This Row],[weekday]]+1,"Sunday","Monday","Tuesday","Wednesday","Thursday","Friday","Saturday")</f>
        <v>Wednesday</v>
      </c>
      <c r="W405" t="str">
        <f>CHOOSE(BikeData[[#This Row],[weathersit]],"Clear / Few Clouds","Mist / Cloudy","Light Rain / Snow","Heavy Rain / Snow")</f>
        <v>Mist / Cloudy</v>
      </c>
    </row>
    <row r="406" spans="1:23" x14ac:dyDescent="0.3">
      <c r="A406">
        <v>405</v>
      </c>
      <c r="B406" s="1">
        <v>40948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>
        <v>0.26500000000000001</v>
      </c>
      <c r="K406">
        <v>0.261988</v>
      </c>
      <c r="L406">
        <v>0.562083</v>
      </c>
      <c r="M406">
        <v>0.19403699999999999</v>
      </c>
      <c r="N406">
        <v>163</v>
      </c>
      <c r="O406">
        <v>3667</v>
      </c>
      <c r="P406">
        <v>3830</v>
      </c>
      <c r="Q406" t="str">
        <f>IF(BikeData[[#This Row],[casual]]+BikeData[[#This Row],[registered]]=BikeData[[#This Row],[cnt]],"OK","Check")</f>
        <v>OK</v>
      </c>
      <c r="R406">
        <f>IF(BikeData[[#This Row],[yr]]=0,2011,2012)</f>
        <v>2012</v>
      </c>
      <c r="S406" t="str">
        <f>CHOOSE(BikeData[[#This Row],[season]],"Winter","Spring","Summer","Fall")</f>
        <v>Winter</v>
      </c>
      <c r="T406" t="str">
        <f>TEXT(DATE(2000,BikeData[[#This Row],[mnth]],1),"mmmm")</f>
        <v>February</v>
      </c>
      <c r="U406" t="str">
        <f>IF(BikeData[[#This Row],[workingday]]=1,"Working Day","Non-working Day")</f>
        <v>Working Day</v>
      </c>
      <c r="V406" t="str">
        <f>CHOOSE(BikeData[[#This Row],[weekday]]+1,"Sunday","Monday","Tuesday","Wednesday","Thursday","Friday","Saturday")</f>
        <v>Thursday</v>
      </c>
      <c r="W406" t="str">
        <f>CHOOSE(BikeData[[#This Row],[weathersit]],"Clear / Few Clouds","Mist / Cloudy","Light Rain / Snow","Heavy Rain / Snow")</f>
        <v>Clear / Few Clouds</v>
      </c>
    </row>
    <row r="407" spans="1:23" x14ac:dyDescent="0.3">
      <c r="A407">
        <v>406</v>
      </c>
      <c r="B407" s="1">
        <v>40949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>
        <v>0.280833</v>
      </c>
      <c r="K407">
        <v>0.29355799999999999</v>
      </c>
      <c r="L407">
        <v>0.54</v>
      </c>
      <c r="M407">
        <v>0.11692900000000001</v>
      </c>
      <c r="N407">
        <v>227</v>
      </c>
      <c r="O407">
        <v>3604</v>
      </c>
      <c r="P407">
        <v>3831</v>
      </c>
      <c r="Q407" t="str">
        <f>IF(BikeData[[#This Row],[casual]]+BikeData[[#This Row],[registered]]=BikeData[[#This Row],[cnt]],"OK","Check")</f>
        <v>OK</v>
      </c>
      <c r="R407">
        <f>IF(BikeData[[#This Row],[yr]]=0,2011,2012)</f>
        <v>2012</v>
      </c>
      <c r="S407" t="str">
        <f>CHOOSE(BikeData[[#This Row],[season]],"Winter","Spring","Summer","Fall")</f>
        <v>Winter</v>
      </c>
      <c r="T407" t="str">
        <f>TEXT(DATE(2000,BikeData[[#This Row],[mnth]],1),"mmmm")</f>
        <v>February</v>
      </c>
      <c r="U407" t="str">
        <f>IF(BikeData[[#This Row],[workingday]]=1,"Working Day","Non-working Day")</f>
        <v>Working Day</v>
      </c>
      <c r="V407" t="str">
        <f>CHOOSE(BikeData[[#This Row],[weekday]]+1,"Sunday","Monday","Tuesday","Wednesday","Thursday","Friday","Saturday")</f>
        <v>Friday</v>
      </c>
      <c r="W407" t="str">
        <f>CHOOSE(BikeData[[#This Row],[weathersit]],"Clear / Few Clouds","Mist / Cloudy","Light Rain / Snow","Heavy Rain / Snow")</f>
        <v>Mist / Cloudy</v>
      </c>
    </row>
    <row r="408" spans="1:23" x14ac:dyDescent="0.3">
      <c r="A408">
        <v>407</v>
      </c>
      <c r="B408" s="1">
        <v>40950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>
        <v>0.22416700000000001</v>
      </c>
      <c r="K408">
        <v>0.210867</v>
      </c>
      <c r="L408">
        <v>0.73124999999999996</v>
      </c>
      <c r="M408">
        <v>0.289796</v>
      </c>
      <c r="N408">
        <v>192</v>
      </c>
      <c r="O408">
        <v>1977</v>
      </c>
      <c r="P408">
        <v>2169</v>
      </c>
      <c r="Q408" t="str">
        <f>IF(BikeData[[#This Row],[casual]]+BikeData[[#This Row],[registered]]=BikeData[[#This Row],[cnt]],"OK","Check")</f>
        <v>OK</v>
      </c>
      <c r="R408">
        <f>IF(BikeData[[#This Row],[yr]]=0,2011,2012)</f>
        <v>2012</v>
      </c>
      <c r="S408" t="str">
        <f>CHOOSE(BikeData[[#This Row],[season]],"Winter","Spring","Summer","Fall")</f>
        <v>Winter</v>
      </c>
      <c r="T408" t="str">
        <f>TEXT(DATE(2000,BikeData[[#This Row],[mnth]],1),"mmmm")</f>
        <v>February</v>
      </c>
      <c r="U408" t="str">
        <f>IF(BikeData[[#This Row],[workingday]]=1,"Working Day","Non-working Day")</f>
        <v>Non-working Day</v>
      </c>
      <c r="V408" t="str">
        <f>CHOOSE(BikeData[[#This Row],[weekday]]+1,"Sunday","Monday","Tuesday","Wednesday","Thursday","Friday","Saturday")</f>
        <v>Saturday</v>
      </c>
      <c r="W408" t="str">
        <f>CHOOSE(BikeData[[#This Row],[weathersit]],"Clear / Few Clouds","Mist / Cloudy","Light Rain / Snow","Heavy Rain / Snow")</f>
        <v>Light Rain / Snow</v>
      </c>
    </row>
    <row r="409" spans="1:23" x14ac:dyDescent="0.3">
      <c r="A409">
        <v>408</v>
      </c>
      <c r="B409" s="1">
        <v>40951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>
        <v>0.1275</v>
      </c>
      <c r="K409">
        <v>0.101658</v>
      </c>
      <c r="L409">
        <v>0.46458300000000002</v>
      </c>
      <c r="M409">
        <v>0.40921200000000002</v>
      </c>
      <c r="N409">
        <v>73</v>
      </c>
      <c r="O409">
        <v>1456</v>
      </c>
      <c r="P409">
        <v>1529</v>
      </c>
      <c r="Q409" t="str">
        <f>IF(BikeData[[#This Row],[casual]]+BikeData[[#This Row],[registered]]=BikeData[[#This Row],[cnt]],"OK","Check")</f>
        <v>OK</v>
      </c>
      <c r="R409">
        <f>IF(BikeData[[#This Row],[yr]]=0,2011,2012)</f>
        <v>2012</v>
      </c>
      <c r="S409" t="str">
        <f>CHOOSE(BikeData[[#This Row],[season]],"Winter","Spring","Summer","Fall")</f>
        <v>Winter</v>
      </c>
      <c r="T409" t="str">
        <f>TEXT(DATE(2000,BikeData[[#This Row],[mnth]],1),"mmmm")</f>
        <v>February</v>
      </c>
      <c r="U409" t="str">
        <f>IF(BikeData[[#This Row],[workingday]]=1,"Working Day","Non-working Day")</f>
        <v>Non-working Day</v>
      </c>
      <c r="V409" t="str">
        <f>CHOOSE(BikeData[[#This Row],[weekday]]+1,"Sunday","Monday","Tuesday","Wednesday","Thursday","Friday","Saturday")</f>
        <v>Sunday</v>
      </c>
      <c r="W409" t="str">
        <f>CHOOSE(BikeData[[#This Row],[weathersit]],"Clear / Few Clouds","Mist / Cloudy","Light Rain / Snow","Heavy Rain / Snow")</f>
        <v>Clear / Few Clouds</v>
      </c>
    </row>
    <row r="410" spans="1:23" x14ac:dyDescent="0.3">
      <c r="A410">
        <v>409</v>
      </c>
      <c r="B410" s="1">
        <v>40952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>
        <v>0.2225</v>
      </c>
      <c r="K410">
        <v>0.227913</v>
      </c>
      <c r="L410">
        <v>0.41125</v>
      </c>
      <c r="M410">
        <v>0.16728299999999999</v>
      </c>
      <c r="N410">
        <v>94</v>
      </c>
      <c r="O410">
        <v>3328</v>
      </c>
      <c r="P410">
        <v>3422</v>
      </c>
      <c r="Q410" t="str">
        <f>IF(BikeData[[#This Row],[casual]]+BikeData[[#This Row],[registered]]=BikeData[[#This Row],[cnt]],"OK","Check")</f>
        <v>OK</v>
      </c>
      <c r="R410">
        <f>IF(BikeData[[#This Row],[yr]]=0,2011,2012)</f>
        <v>2012</v>
      </c>
      <c r="S410" t="str">
        <f>CHOOSE(BikeData[[#This Row],[season]],"Winter","Spring","Summer","Fall")</f>
        <v>Winter</v>
      </c>
      <c r="T410" t="str">
        <f>TEXT(DATE(2000,BikeData[[#This Row],[mnth]],1),"mmmm")</f>
        <v>February</v>
      </c>
      <c r="U410" t="str">
        <f>IF(BikeData[[#This Row],[workingday]]=1,"Working Day","Non-working Day")</f>
        <v>Working Day</v>
      </c>
      <c r="V410" t="str">
        <f>CHOOSE(BikeData[[#This Row],[weekday]]+1,"Sunday","Monday","Tuesday","Wednesday","Thursday","Friday","Saturday")</f>
        <v>Monday</v>
      </c>
      <c r="W410" t="str">
        <f>CHOOSE(BikeData[[#This Row],[weathersit]],"Clear / Few Clouds","Mist / Cloudy","Light Rain / Snow","Heavy Rain / Snow")</f>
        <v>Clear / Few Clouds</v>
      </c>
    </row>
    <row r="411" spans="1:23" x14ac:dyDescent="0.3">
      <c r="A411">
        <v>410</v>
      </c>
      <c r="B411" s="1">
        <v>40953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>
        <v>0.31916699999999998</v>
      </c>
      <c r="K411">
        <v>0.33394600000000002</v>
      </c>
      <c r="L411">
        <v>0.50875000000000004</v>
      </c>
      <c r="M411">
        <v>0.141179</v>
      </c>
      <c r="N411">
        <v>135</v>
      </c>
      <c r="O411">
        <v>3787</v>
      </c>
      <c r="P411">
        <v>3922</v>
      </c>
      <c r="Q411" t="str">
        <f>IF(BikeData[[#This Row],[casual]]+BikeData[[#This Row],[registered]]=BikeData[[#This Row],[cnt]],"OK","Check")</f>
        <v>OK</v>
      </c>
      <c r="R411">
        <f>IF(BikeData[[#This Row],[yr]]=0,2011,2012)</f>
        <v>2012</v>
      </c>
      <c r="S411" t="str">
        <f>CHOOSE(BikeData[[#This Row],[season]],"Winter","Spring","Summer","Fall")</f>
        <v>Winter</v>
      </c>
      <c r="T411" t="str">
        <f>TEXT(DATE(2000,BikeData[[#This Row],[mnth]],1),"mmmm")</f>
        <v>February</v>
      </c>
      <c r="U411" t="str">
        <f>IF(BikeData[[#This Row],[workingday]]=1,"Working Day","Non-working Day")</f>
        <v>Working Day</v>
      </c>
      <c r="V411" t="str">
        <f>CHOOSE(BikeData[[#This Row],[weekday]]+1,"Sunday","Monday","Tuesday","Wednesday","Thursday","Friday","Saturday")</f>
        <v>Tuesday</v>
      </c>
      <c r="W411" t="str">
        <f>CHOOSE(BikeData[[#This Row],[weathersit]],"Clear / Few Clouds","Mist / Cloudy","Light Rain / Snow","Heavy Rain / Snow")</f>
        <v>Mist / Cloudy</v>
      </c>
    </row>
    <row r="412" spans="1:23" x14ac:dyDescent="0.3">
      <c r="A412">
        <v>411</v>
      </c>
      <c r="B412" s="1">
        <v>40954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>
        <v>0.348333</v>
      </c>
      <c r="K412">
        <v>0.35162900000000002</v>
      </c>
      <c r="L412">
        <v>0.53125</v>
      </c>
      <c r="M412">
        <v>0.18160000000000001</v>
      </c>
      <c r="N412">
        <v>141</v>
      </c>
      <c r="O412">
        <v>4028</v>
      </c>
      <c r="P412">
        <v>4169</v>
      </c>
      <c r="Q412" t="str">
        <f>IF(BikeData[[#This Row],[casual]]+BikeData[[#This Row],[registered]]=BikeData[[#This Row],[cnt]],"OK","Check")</f>
        <v>OK</v>
      </c>
      <c r="R412">
        <f>IF(BikeData[[#This Row],[yr]]=0,2011,2012)</f>
        <v>2012</v>
      </c>
      <c r="S412" t="str">
        <f>CHOOSE(BikeData[[#This Row],[season]],"Winter","Spring","Summer","Fall")</f>
        <v>Winter</v>
      </c>
      <c r="T412" t="str">
        <f>TEXT(DATE(2000,BikeData[[#This Row],[mnth]],1),"mmmm")</f>
        <v>February</v>
      </c>
      <c r="U412" t="str">
        <f>IF(BikeData[[#This Row],[workingday]]=1,"Working Day","Non-working Day")</f>
        <v>Working Day</v>
      </c>
      <c r="V412" t="str">
        <f>CHOOSE(BikeData[[#This Row],[weekday]]+1,"Sunday","Monday","Tuesday","Wednesday","Thursday","Friday","Saturday")</f>
        <v>Wednesday</v>
      </c>
      <c r="W412" t="str">
        <f>CHOOSE(BikeData[[#This Row],[weathersit]],"Clear / Few Clouds","Mist / Cloudy","Light Rain / Snow","Heavy Rain / Snow")</f>
        <v>Clear / Few Clouds</v>
      </c>
    </row>
    <row r="413" spans="1:23" x14ac:dyDescent="0.3">
      <c r="A413">
        <v>412</v>
      </c>
      <c r="B413" s="1">
        <v>40955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>
        <v>0.31666699999999998</v>
      </c>
      <c r="K413">
        <v>0.33016200000000001</v>
      </c>
      <c r="L413">
        <v>0.75291699999999995</v>
      </c>
      <c r="M413">
        <v>9.1425000000000006E-2</v>
      </c>
      <c r="N413">
        <v>74</v>
      </c>
      <c r="O413">
        <v>2931</v>
      </c>
      <c r="P413">
        <v>3005</v>
      </c>
      <c r="Q413" t="str">
        <f>IF(BikeData[[#This Row],[casual]]+BikeData[[#This Row],[registered]]=BikeData[[#This Row],[cnt]],"OK","Check")</f>
        <v>OK</v>
      </c>
      <c r="R413">
        <f>IF(BikeData[[#This Row],[yr]]=0,2011,2012)</f>
        <v>2012</v>
      </c>
      <c r="S413" t="str">
        <f>CHOOSE(BikeData[[#This Row],[season]],"Winter","Spring","Summer","Fall")</f>
        <v>Winter</v>
      </c>
      <c r="T413" t="str">
        <f>TEXT(DATE(2000,BikeData[[#This Row],[mnth]],1),"mmmm")</f>
        <v>February</v>
      </c>
      <c r="U413" t="str">
        <f>IF(BikeData[[#This Row],[workingday]]=1,"Working Day","Non-working Day")</f>
        <v>Working Day</v>
      </c>
      <c r="V413" t="str">
        <f>CHOOSE(BikeData[[#This Row],[weekday]]+1,"Sunday","Monday","Tuesday","Wednesday","Thursday","Friday","Saturday")</f>
        <v>Thursday</v>
      </c>
      <c r="W413" t="str">
        <f>CHOOSE(BikeData[[#This Row],[weathersit]],"Clear / Few Clouds","Mist / Cloudy","Light Rain / Snow","Heavy Rain / Snow")</f>
        <v>Mist / Cloudy</v>
      </c>
    </row>
    <row r="414" spans="1:23" x14ac:dyDescent="0.3">
      <c r="A414">
        <v>413</v>
      </c>
      <c r="B414" s="1">
        <v>40956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>
        <v>0.343333</v>
      </c>
      <c r="K414">
        <v>0.35162900000000002</v>
      </c>
      <c r="L414">
        <v>0.63458300000000001</v>
      </c>
      <c r="M414">
        <v>0.205846</v>
      </c>
      <c r="N414">
        <v>349</v>
      </c>
      <c r="O414">
        <v>3805</v>
      </c>
      <c r="P414">
        <v>4154</v>
      </c>
      <c r="Q414" t="str">
        <f>IF(BikeData[[#This Row],[casual]]+BikeData[[#This Row],[registered]]=BikeData[[#This Row],[cnt]],"OK","Check")</f>
        <v>OK</v>
      </c>
      <c r="R414">
        <f>IF(BikeData[[#This Row],[yr]]=0,2011,2012)</f>
        <v>2012</v>
      </c>
      <c r="S414" t="str">
        <f>CHOOSE(BikeData[[#This Row],[season]],"Winter","Spring","Summer","Fall")</f>
        <v>Winter</v>
      </c>
      <c r="T414" t="str">
        <f>TEXT(DATE(2000,BikeData[[#This Row],[mnth]],1),"mmmm")</f>
        <v>February</v>
      </c>
      <c r="U414" t="str">
        <f>IF(BikeData[[#This Row],[workingday]]=1,"Working Day","Non-working Day")</f>
        <v>Working Day</v>
      </c>
      <c r="V414" t="str">
        <f>CHOOSE(BikeData[[#This Row],[weekday]]+1,"Sunday","Monday","Tuesday","Wednesday","Thursday","Friday","Saturday")</f>
        <v>Friday</v>
      </c>
      <c r="W414" t="str">
        <f>CHOOSE(BikeData[[#This Row],[weathersit]],"Clear / Few Clouds","Mist / Cloudy","Light Rain / Snow","Heavy Rain / Snow")</f>
        <v>Clear / Few Clouds</v>
      </c>
    </row>
    <row r="415" spans="1:23" x14ac:dyDescent="0.3">
      <c r="A415">
        <v>414</v>
      </c>
      <c r="B415" s="1">
        <v>40957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>
        <v>0.346667</v>
      </c>
      <c r="K415">
        <v>0.35542499999999999</v>
      </c>
      <c r="L415">
        <v>0.53458300000000003</v>
      </c>
      <c r="M415">
        <v>0.19092899999999999</v>
      </c>
      <c r="N415">
        <v>1435</v>
      </c>
      <c r="O415">
        <v>2883</v>
      </c>
      <c r="P415">
        <v>4318</v>
      </c>
      <c r="Q415" t="str">
        <f>IF(BikeData[[#This Row],[casual]]+BikeData[[#This Row],[registered]]=BikeData[[#This Row],[cnt]],"OK","Check")</f>
        <v>OK</v>
      </c>
      <c r="R415">
        <f>IF(BikeData[[#This Row],[yr]]=0,2011,2012)</f>
        <v>2012</v>
      </c>
      <c r="S415" t="str">
        <f>CHOOSE(BikeData[[#This Row],[season]],"Winter","Spring","Summer","Fall")</f>
        <v>Winter</v>
      </c>
      <c r="T415" t="str">
        <f>TEXT(DATE(2000,BikeData[[#This Row],[mnth]],1),"mmmm")</f>
        <v>February</v>
      </c>
      <c r="U415" t="str">
        <f>IF(BikeData[[#This Row],[workingday]]=1,"Working Day","Non-working Day")</f>
        <v>Non-working Day</v>
      </c>
      <c r="V415" t="str">
        <f>CHOOSE(BikeData[[#This Row],[weekday]]+1,"Sunday","Monday","Tuesday","Wednesday","Thursday","Friday","Saturday")</f>
        <v>Saturday</v>
      </c>
      <c r="W415" t="str">
        <f>CHOOSE(BikeData[[#This Row],[weathersit]],"Clear / Few Clouds","Mist / Cloudy","Light Rain / Snow","Heavy Rain / Snow")</f>
        <v>Clear / Few Clouds</v>
      </c>
    </row>
    <row r="416" spans="1:23" x14ac:dyDescent="0.3">
      <c r="A416">
        <v>415</v>
      </c>
      <c r="B416" s="1">
        <v>40958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>
        <v>0.28000000000000003</v>
      </c>
      <c r="K416">
        <v>0.26578800000000002</v>
      </c>
      <c r="L416">
        <v>0.51583299999999999</v>
      </c>
      <c r="M416">
        <v>0.253112</v>
      </c>
      <c r="N416">
        <v>618</v>
      </c>
      <c r="O416">
        <v>2071</v>
      </c>
      <c r="P416">
        <v>2689</v>
      </c>
      <c r="Q416" t="str">
        <f>IF(BikeData[[#This Row],[casual]]+BikeData[[#This Row],[registered]]=BikeData[[#This Row],[cnt]],"OK","Check")</f>
        <v>OK</v>
      </c>
      <c r="R416">
        <f>IF(BikeData[[#This Row],[yr]]=0,2011,2012)</f>
        <v>2012</v>
      </c>
      <c r="S416" t="str">
        <f>CHOOSE(BikeData[[#This Row],[season]],"Winter","Spring","Summer","Fall")</f>
        <v>Winter</v>
      </c>
      <c r="T416" t="str">
        <f>TEXT(DATE(2000,BikeData[[#This Row],[mnth]],1),"mmmm")</f>
        <v>February</v>
      </c>
      <c r="U416" t="str">
        <f>IF(BikeData[[#This Row],[workingday]]=1,"Working Day","Non-working Day")</f>
        <v>Non-working Day</v>
      </c>
      <c r="V416" t="str">
        <f>CHOOSE(BikeData[[#This Row],[weekday]]+1,"Sunday","Monday","Tuesday","Wednesday","Thursday","Friday","Saturday")</f>
        <v>Sunday</v>
      </c>
      <c r="W416" t="str">
        <f>CHOOSE(BikeData[[#This Row],[weathersit]],"Clear / Few Clouds","Mist / Cloudy","Light Rain / Snow","Heavy Rain / Snow")</f>
        <v>Mist / Cloudy</v>
      </c>
    </row>
    <row r="417" spans="1:23" x14ac:dyDescent="0.3">
      <c r="A417">
        <v>416</v>
      </c>
      <c r="B417" s="1">
        <v>40959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0.28000000000000003</v>
      </c>
      <c r="K417">
        <v>0.273391</v>
      </c>
      <c r="L417">
        <v>0.507826</v>
      </c>
      <c r="M417">
        <v>0.22908300000000001</v>
      </c>
      <c r="N417">
        <v>502</v>
      </c>
      <c r="O417">
        <v>2627</v>
      </c>
      <c r="P417">
        <v>3129</v>
      </c>
      <c r="Q417" t="str">
        <f>IF(BikeData[[#This Row],[casual]]+BikeData[[#This Row],[registered]]=BikeData[[#This Row],[cnt]],"OK","Check")</f>
        <v>OK</v>
      </c>
      <c r="R417">
        <f>IF(BikeData[[#This Row],[yr]]=0,2011,2012)</f>
        <v>2012</v>
      </c>
      <c r="S417" t="str">
        <f>CHOOSE(BikeData[[#This Row],[season]],"Winter","Spring","Summer","Fall")</f>
        <v>Winter</v>
      </c>
      <c r="T417" t="str">
        <f>TEXT(DATE(2000,BikeData[[#This Row],[mnth]],1),"mmmm")</f>
        <v>February</v>
      </c>
      <c r="U417" t="str">
        <f>IF(BikeData[[#This Row],[workingday]]=1,"Working Day","Non-working Day")</f>
        <v>Non-working Day</v>
      </c>
      <c r="V417" t="str">
        <f>CHOOSE(BikeData[[#This Row],[weekday]]+1,"Sunday","Monday","Tuesday","Wednesday","Thursday","Friday","Saturday")</f>
        <v>Monday</v>
      </c>
      <c r="W417" t="str">
        <f>CHOOSE(BikeData[[#This Row],[weathersit]],"Clear / Few Clouds","Mist / Cloudy","Light Rain / Snow","Heavy Rain / Snow")</f>
        <v>Clear / Few Clouds</v>
      </c>
    </row>
    <row r="418" spans="1:23" x14ac:dyDescent="0.3">
      <c r="A418">
        <v>417</v>
      </c>
      <c r="B418" s="1">
        <v>40960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>
        <v>0.28782600000000003</v>
      </c>
      <c r="K418">
        <v>0.29511300000000001</v>
      </c>
      <c r="L418">
        <v>0.59434799999999999</v>
      </c>
      <c r="M418">
        <v>0.20571700000000001</v>
      </c>
      <c r="N418">
        <v>163</v>
      </c>
      <c r="O418">
        <v>3614</v>
      </c>
      <c r="P418">
        <v>3777</v>
      </c>
      <c r="Q418" t="str">
        <f>IF(BikeData[[#This Row],[casual]]+BikeData[[#This Row],[registered]]=BikeData[[#This Row],[cnt]],"OK","Check")</f>
        <v>OK</v>
      </c>
      <c r="R418">
        <f>IF(BikeData[[#This Row],[yr]]=0,2011,2012)</f>
        <v>2012</v>
      </c>
      <c r="S418" t="str">
        <f>CHOOSE(BikeData[[#This Row],[season]],"Winter","Spring","Summer","Fall")</f>
        <v>Winter</v>
      </c>
      <c r="T418" t="str">
        <f>TEXT(DATE(2000,BikeData[[#This Row],[mnth]],1),"mmmm")</f>
        <v>February</v>
      </c>
      <c r="U418" t="str">
        <f>IF(BikeData[[#This Row],[workingday]]=1,"Working Day","Non-working Day")</f>
        <v>Working Day</v>
      </c>
      <c r="V418" t="str">
        <f>CHOOSE(BikeData[[#This Row],[weekday]]+1,"Sunday","Monday","Tuesday","Wednesday","Thursday","Friday","Saturday")</f>
        <v>Tuesday</v>
      </c>
      <c r="W418" t="str">
        <f>CHOOSE(BikeData[[#This Row],[weathersit]],"Clear / Few Clouds","Mist / Cloudy","Light Rain / Snow","Heavy Rain / Snow")</f>
        <v>Clear / Few Clouds</v>
      </c>
    </row>
    <row r="419" spans="1:23" x14ac:dyDescent="0.3">
      <c r="A419">
        <v>418</v>
      </c>
      <c r="B419" s="1">
        <v>40961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>
        <v>0.39583299999999999</v>
      </c>
      <c r="K419">
        <v>0.39266699999999999</v>
      </c>
      <c r="L419">
        <v>0.56791700000000001</v>
      </c>
      <c r="M419">
        <v>0.23447100000000001</v>
      </c>
      <c r="N419">
        <v>394</v>
      </c>
      <c r="O419">
        <v>4379</v>
      </c>
      <c r="P419">
        <v>4773</v>
      </c>
      <c r="Q419" t="str">
        <f>IF(BikeData[[#This Row],[casual]]+BikeData[[#This Row],[registered]]=BikeData[[#This Row],[cnt]],"OK","Check")</f>
        <v>OK</v>
      </c>
      <c r="R419">
        <f>IF(BikeData[[#This Row],[yr]]=0,2011,2012)</f>
        <v>2012</v>
      </c>
      <c r="S419" t="str">
        <f>CHOOSE(BikeData[[#This Row],[season]],"Winter","Spring","Summer","Fall")</f>
        <v>Winter</v>
      </c>
      <c r="T419" t="str">
        <f>TEXT(DATE(2000,BikeData[[#This Row],[mnth]],1),"mmmm")</f>
        <v>February</v>
      </c>
      <c r="U419" t="str">
        <f>IF(BikeData[[#This Row],[workingday]]=1,"Working Day","Non-working Day")</f>
        <v>Working Day</v>
      </c>
      <c r="V419" t="str">
        <f>CHOOSE(BikeData[[#This Row],[weekday]]+1,"Sunday","Monday","Tuesday","Wednesday","Thursday","Friday","Saturday")</f>
        <v>Wednesday</v>
      </c>
      <c r="W419" t="str">
        <f>CHOOSE(BikeData[[#This Row],[weathersit]],"Clear / Few Clouds","Mist / Cloudy","Light Rain / Snow","Heavy Rain / Snow")</f>
        <v>Clear / Few Clouds</v>
      </c>
    </row>
    <row r="420" spans="1:23" x14ac:dyDescent="0.3">
      <c r="A420">
        <v>419</v>
      </c>
      <c r="B420" s="1">
        <v>40962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>
        <v>0.45416699999999999</v>
      </c>
      <c r="K420">
        <v>0.44444600000000001</v>
      </c>
      <c r="L420">
        <v>0.55458300000000005</v>
      </c>
      <c r="M420">
        <v>0.190913</v>
      </c>
      <c r="N420">
        <v>516</v>
      </c>
      <c r="O420">
        <v>4546</v>
      </c>
      <c r="P420">
        <v>5062</v>
      </c>
      <c r="Q420" t="str">
        <f>IF(BikeData[[#This Row],[casual]]+BikeData[[#This Row],[registered]]=BikeData[[#This Row],[cnt]],"OK","Check")</f>
        <v>OK</v>
      </c>
      <c r="R420">
        <f>IF(BikeData[[#This Row],[yr]]=0,2011,2012)</f>
        <v>2012</v>
      </c>
      <c r="S420" t="str">
        <f>CHOOSE(BikeData[[#This Row],[season]],"Winter","Spring","Summer","Fall")</f>
        <v>Winter</v>
      </c>
      <c r="T420" t="str">
        <f>TEXT(DATE(2000,BikeData[[#This Row],[mnth]],1),"mmmm")</f>
        <v>February</v>
      </c>
      <c r="U420" t="str">
        <f>IF(BikeData[[#This Row],[workingday]]=1,"Working Day","Non-working Day")</f>
        <v>Working Day</v>
      </c>
      <c r="V420" t="str">
        <f>CHOOSE(BikeData[[#This Row],[weekday]]+1,"Sunday","Monday","Tuesday","Wednesday","Thursday","Friday","Saturday")</f>
        <v>Thursday</v>
      </c>
      <c r="W420" t="str">
        <f>CHOOSE(BikeData[[#This Row],[weathersit]],"Clear / Few Clouds","Mist / Cloudy","Light Rain / Snow","Heavy Rain / Snow")</f>
        <v>Clear / Few Clouds</v>
      </c>
    </row>
    <row r="421" spans="1:23" x14ac:dyDescent="0.3">
      <c r="A421">
        <v>420</v>
      </c>
      <c r="B421" s="1">
        <v>40963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>
        <v>0.40749999999999997</v>
      </c>
      <c r="K421">
        <v>0.41097099999999998</v>
      </c>
      <c r="L421">
        <v>0.73750000000000004</v>
      </c>
      <c r="M421">
        <v>0.237567</v>
      </c>
      <c r="N421">
        <v>246</v>
      </c>
      <c r="O421">
        <v>3241</v>
      </c>
      <c r="P421">
        <v>3487</v>
      </c>
      <c r="Q421" t="str">
        <f>IF(BikeData[[#This Row],[casual]]+BikeData[[#This Row],[registered]]=BikeData[[#This Row],[cnt]],"OK","Check")</f>
        <v>OK</v>
      </c>
      <c r="R421">
        <f>IF(BikeData[[#This Row],[yr]]=0,2011,2012)</f>
        <v>2012</v>
      </c>
      <c r="S421" t="str">
        <f>CHOOSE(BikeData[[#This Row],[season]],"Winter","Spring","Summer","Fall")</f>
        <v>Winter</v>
      </c>
      <c r="T421" t="str">
        <f>TEXT(DATE(2000,BikeData[[#This Row],[mnth]],1),"mmmm")</f>
        <v>February</v>
      </c>
      <c r="U421" t="str">
        <f>IF(BikeData[[#This Row],[workingday]]=1,"Working Day","Non-working Day")</f>
        <v>Working Day</v>
      </c>
      <c r="V421" t="str">
        <f>CHOOSE(BikeData[[#This Row],[weekday]]+1,"Sunday","Monday","Tuesday","Wednesday","Thursday","Friday","Saturday")</f>
        <v>Friday</v>
      </c>
      <c r="W421" t="str">
        <f>CHOOSE(BikeData[[#This Row],[weathersit]],"Clear / Few Clouds","Mist / Cloudy","Light Rain / Snow","Heavy Rain / Snow")</f>
        <v>Mist / Cloudy</v>
      </c>
    </row>
    <row r="422" spans="1:23" x14ac:dyDescent="0.3">
      <c r="A422">
        <v>421</v>
      </c>
      <c r="B422" s="1">
        <v>40964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>
        <v>0.29083300000000001</v>
      </c>
      <c r="K422">
        <v>0.25567499999999999</v>
      </c>
      <c r="L422">
        <v>0.39583299999999999</v>
      </c>
      <c r="M422">
        <v>0.42164200000000002</v>
      </c>
      <c r="N422">
        <v>317</v>
      </c>
      <c r="O422">
        <v>2415</v>
      </c>
      <c r="P422">
        <v>2732</v>
      </c>
      <c r="Q422" t="str">
        <f>IF(BikeData[[#This Row],[casual]]+BikeData[[#This Row],[registered]]=BikeData[[#This Row],[cnt]],"OK","Check")</f>
        <v>OK</v>
      </c>
      <c r="R422">
        <f>IF(BikeData[[#This Row],[yr]]=0,2011,2012)</f>
        <v>2012</v>
      </c>
      <c r="S422" t="str">
        <f>CHOOSE(BikeData[[#This Row],[season]],"Winter","Spring","Summer","Fall")</f>
        <v>Winter</v>
      </c>
      <c r="T422" t="str">
        <f>TEXT(DATE(2000,BikeData[[#This Row],[mnth]],1),"mmmm")</f>
        <v>February</v>
      </c>
      <c r="U422" t="str">
        <f>IF(BikeData[[#This Row],[workingday]]=1,"Working Day","Non-working Day")</f>
        <v>Non-working Day</v>
      </c>
      <c r="V422" t="str">
        <f>CHOOSE(BikeData[[#This Row],[weekday]]+1,"Sunday","Monday","Tuesday","Wednesday","Thursday","Friday","Saturday")</f>
        <v>Saturday</v>
      </c>
      <c r="W422" t="str">
        <f>CHOOSE(BikeData[[#This Row],[weathersit]],"Clear / Few Clouds","Mist / Cloudy","Light Rain / Snow","Heavy Rain / Snow")</f>
        <v>Clear / Few Clouds</v>
      </c>
    </row>
    <row r="423" spans="1:23" x14ac:dyDescent="0.3">
      <c r="A423">
        <v>422</v>
      </c>
      <c r="B423" s="1">
        <v>40965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>
        <v>0.279167</v>
      </c>
      <c r="K423">
        <v>0.26830799999999999</v>
      </c>
      <c r="L423">
        <v>0.41</v>
      </c>
      <c r="M423">
        <v>0.20522899999999999</v>
      </c>
      <c r="N423">
        <v>515</v>
      </c>
      <c r="O423">
        <v>2874</v>
      </c>
      <c r="P423">
        <v>3389</v>
      </c>
      <c r="Q423" t="str">
        <f>IF(BikeData[[#This Row],[casual]]+BikeData[[#This Row],[registered]]=BikeData[[#This Row],[cnt]],"OK","Check")</f>
        <v>OK</v>
      </c>
      <c r="R423">
        <f>IF(BikeData[[#This Row],[yr]]=0,2011,2012)</f>
        <v>2012</v>
      </c>
      <c r="S423" t="str">
        <f>CHOOSE(BikeData[[#This Row],[season]],"Winter","Spring","Summer","Fall")</f>
        <v>Winter</v>
      </c>
      <c r="T423" t="str">
        <f>TEXT(DATE(2000,BikeData[[#This Row],[mnth]],1),"mmmm")</f>
        <v>February</v>
      </c>
      <c r="U423" t="str">
        <f>IF(BikeData[[#This Row],[workingday]]=1,"Working Day","Non-working Day")</f>
        <v>Non-working Day</v>
      </c>
      <c r="V423" t="str">
        <f>CHOOSE(BikeData[[#This Row],[weekday]]+1,"Sunday","Monday","Tuesday","Wednesday","Thursday","Friday","Saturday")</f>
        <v>Sunday</v>
      </c>
      <c r="W423" t="str">
        <f>CHOOSE(BikeData[[#This Row],[weathersit]],"Clear / Few Clouds","Mist / Cloudy","Light Rain / Snow","Heavy Rain / Snow")</f>
        <v>Clear / Few Clouds</v>
      </c>
    </row>
    <row r="424" spans="1:23" x14ac:dyDescent="0.3">
      <c r="A424">
        <v>423</v>
      </c>
      <c r="B424" s="1">
        <v>40966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>
        <v>0.36666700000000002</v>
      </c>
      <c r="K424">
        <v>0.35795399999999999</v>
      </c>
      <c r="L424">
        <v>0.49083300000000002</v>
      </c>
      <c r="M424">
        <v>0.26803300000000002</v>
      </c>
      <c r="N424">
        <v>253</v>
      </c>
      <c r="O424">
        <v>4069</v>
      </c>
      <c r="P424">
        <v>4322</v>
      </c>
      <c r="Q424" t="str">
        <f>IF(BikeData[[#This Row],[casual]]+BikeData[[#This Row],[registered]]=BikeData[[#This Row],[cnt]],"OK","Check")</f>
        <v>OK</v>
      </c>
      <c r="R424">
        <f>IF(BikeData[[#This Row],[yr]]=0,2011,2012)</f>
        <v>2012</v>
      </c>
      <c r="S424" t="str">
        <f>CHOOSE(BikeData[[#This Row],[season]],"Winter","Spring","Summer","Fall")</f>
        <v>Winter</v>
      </c>
      <c r="T424" t="str">
        <f>TEXT(DATE(2000,BikeData[[#This Row],[mnth]],1),"mmmm")</f>
        <v>February</v>
      </c>
      <c r="U424" t="str">
        <f>IF(BikeData[[#This Row],[workingday]]=1,"Working Day","Non-working Day")</f>
        <v>Working Day</v>
      </c>
      <c r="V424" t="str">
        <f>CHOOSE(BikeData[[#This Row],[weekday]]+1,"Sunday","Monday","Tuesday","Wednesday","Thursday","Friday","Saturday")</f>
        <v>Monday</v>
      </c>
      <c r="W424" t="str">
        <f>CHOOSE(BikeData[[#This Row],[weathersit]],"Clear / Few Clouds","Mist / Cloudy","Light Rain / Snow","Heavy Rain / Snow")</f>
        <v>Clear / Few Clouds</v>
      </c>
    </row>
    <row r="425" spans="1:23" x14ac:dyDescent="0.3">
      <c r="A425">
        <v>424</v>
      </c>
      <c r="B425" s="1">
        <v>40967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>
        <v>0.35916700000000001</v>
      </c>
      <c r="K425">
        <v>0.35352499999999998</v>
      </c>
      <c r="L425">
        <v>0.39583299999999999</v>
      </c>
      <c r="M425">
        <v>0.19341700000000001</v>
      </c>
      <c r="N425">
        <v>229</v>
      </c>
      <c r="O425">
        <v>4134</v>
      </c>
      <c r="P425">
        <v>4363</v>
      </c>
      <c r="Q425" t="str">
        <f>IF(BikeData[[#This Row],[casual]]+BikeData[[#This Row],[registered]]=BikeData[[#This Row],[cnt]],"OK","Check")</f>
        <v>OK</v>
      </c>
      <c r="R425">
        <f>IF(BikeData[[#This Row],[yr]]=0,2011,2012)</f>
        <v>2012</v>
      </c>
      <c r="S425" t="str">
        <f>CHOOSE(BikeData[[#This Row],[season]],"Winter","Spring","Summer","Fall")</f>
        <v>Winter</v>
      </c>
      <c r="T425" t="str">
        <f>TEXT(DATE(2000,BikeData[[#This Row],[mnth]],1),"mmmm")</f>
        <v>February</v>
      </c>
      <c r="U425" t="str">
        <f>IF(BikeData[[#This Row],[workingday]]=1,"Working Day","Non-working Day")</f>
        <v>Working Day</v>
      </c>
      <c r="V425" t="str">
        <f>CHOOSE(BikeData[[#This Row],[weekday]]+1,"Sunday","Monday","Tuesday","Wednesday","Thursday","Friday","Saturday")</f>
        <v>Tuesday</v>
      </c>
      <c r="W425" t="str">
        <f>CHOOSE(BikeData[[#This Row],[weathersit]],"Clear / Few Clouds","Mist / Cloudy","Light Rain / Snow","Heavy Rain / Snow")</f>
        <v>Clear / Few Clouds</v>
      </c>
    </row>
    <row r="426" spans="1:23" x14ac:dyDescent="0.3">
      <c r="A426">
        <v>425</v>
      </c>
      <c r="B426" s="1">
        <v>40968</v>
      </c>
      <c r="C426">
        <v>1</v>
      </c>
      <c r="D426">
        <v>1</v>
      </c>
      <c r="E426">
        <v>2</v>
      </c>
      <c r="F426">
        <v>0</v>
      </c>
      <c r="G426">
        <v>3</v>
      </c>
      <c r="H426">
        <v>1</v>
      </c>
      <c r="I426">
        <v>2</v>
      </c>
      <c r="J426">
        <v>0.34434799999999999</v>
      </c>
      <c r="K426">
        <v>0.34847</v>
      </c>
      <c r="L426">
        <v>0.80478300000000003</v>
      </c>
      <c r="M426">
        <v>0.179117</v>
      </c>
      <c r="N426">
        <v>65</v>
      </c>
      <c r="O426">
        <v>1769</v>
      </c>
      <c r="P426">
        <v>1834</v>
      </c>
      <c r="Q426" t="str">
        <f>IF(BikeData[[#This Row],[casual]]+BikeData[[#This Row],[registered]]=BikeData[[#This Row],[cnt]],"OK","Check")</f>
        <v>OK</v>
      </c>
      <c r="R426">
        <f>IF(BikeData[[#This Row],[yr]]=0,2011,2012)</f>
        <v>2012</v>
      </c>
      <c r="S426" t="str">
        <f>CHOOSE(BikeData[[#This Row],[season]],"Winter","Spring","Summer","Fall")</f>
        <v>Winter</v>
      </c>
      <c r="T426" t="str">
        <f>TEXT(DATE(2000,BikeData[[#This Row],[mnth]],1),"mmmm")</f>
        <v>February</v>
      </c>
      <c r="U426" t="str">
        <f>IF(BikeData[[#This Row],[workingday]]=1,"Working Day","Non-working Day")</f>
        <v>Working Day</v>
      </c>
      <c r="V426" t="str">
        <f>CHOOSE(BikeData[[#This Row],[weekday]]+1,"Sunday","Monday","Tuesday","Wednesday","Thursday","Friday","Saturday")</f>
        <v>Wednesday</v>
      </c>
      <c r="W426" t="str">
        <f>CHOOSE(BikeData[[#This Row],[weathersit]],"Clear / Few Clouds","Mist / Cloudy","Light Rain / Snow","Heavy Rain / Snow")</f>
        <v>Mist / Cloudy</v>
      </c>
    </row>
    <row r="427" spans="1:23" x14ac:dyDescent="0.3">
      <c r="A427">
        <v>426</v>
      </c>
      <c r="B427" s="1">
        <v>40969</v>
      </c>
      <c r="C427">
        <v>1</v>
      </c>
      <c r="D427">
        <v>1</v>
      </c>
      <c r="E427">
        <v>3</v>
      </c>
      <c r="F427">
        <v>0</v>
      </c>
      <c r="G427">
        <v>4</v>
      </c>
      <c r="H427">
        <v>1</v>
      </c>
      <c r="I427">
        <v>1</v>
      </c>
      <c r="J427">
        <v>0.48583300000000001</v>
      </c>
      <c r="K427">
        <v>0.47537099999999999</v>
      </c>
      <c r="L427">
        <v>0.61541699999999999</v>
      </c>
      <c r="M427">
        <v>0.22698699999999999</v>
      </c>
      <c r="N427">
        <v>325</v>
      </c>
      <c r="O427">
        <v>4665</v>
      </c>
      <c r="P427">
        <v>4990</v>
      </c>
      <c r="Q427" t="str">
        <f>IF(BikeData[[#This Row],[casual]]+BikeData[[#This Row],[registered]]=BikeData[[#This Row],[cnt]],"OK","Check")</f>
        <v>OK</v>
      </c>
      <c r="R427">
        <f>IF(BikeData[[#This Row],[yr]]=0,2011,2012)</f>
        <v>2012</v>
      </c>
      <c r="S427" t="str">
        <f>CHOOSE(BikeData[[#This Row],[season]],"Winter","Spring","Summer","Fall")</f>
        <v>Winter</v>
      </c>
      <c r="T427" t="str">
        <f>TEXT(DATE(2000,BikeData[[#This Row],[mnth]],1),"mmmm")</f>
        <v>March</v>
      </c>
      <c r="U427" t="str">
        <f>IF(BikeData[[#This Row],[workingday]]=1,"Working Day","Non-working Day")</f>
        <v>Working Day</v>
      </c>
      <c r="V427" t="str">
        <f>CHOOSE(BikeData[[#This Row],[weekday]]+1,"Sunday","Monday","Tuesday","Wednesday","Thursday","Friday","Saturday")</f>
        <v>Thursday</v>
      </c>
      <c r="W427" t="str">
        <f>CHOOSE(BikeData[[#This Row],[weathersit]],"Clear / Few Clouds","Mist / Cloudy","Light Rain / Snow","Heavy Rain / Snow")</f>
        <v>Clear / Few Clouds</v>
      </c>
    </row>
    <row r="428" spans="1:23" x14ac:dyDescent="0.3">
      <c r="A428">
        <v>427</v>
      </c>
      <c r="B428" s="1">
        <v>40970</v>
      </c>
      <c r="C428">
        <v>1</v>
      </c>
      <c r="D428">
        <v>1</v>
      </c>
      <c r="E428">
        <v>3</v>
      </c>
      <c r="F428">
        <v>0</v>
      </c>
      <c r="G428">
        <v>5</v>
      </c>
      <c r="H428">
        <v>1</v>
      </c>
      <c r="I428">
        <v>2</v>
      </c>
      <c r="J428">
        <v>0.35333300000000001</v>
      </c>
      <c r="K428">
        <v>0.359842</v>
      </c>
      <c r="L428">
        <v>0.65708299999999997</v>
      </c>
      <c r="M428">
        <v>0.14490400000000001</v>
      </c>
      <c r="N428">
        <v>246</v>
      </c>
      <c r="O428">
        <v>2948</v>
      </c>
      <c r="P428">
        <v>3194</v>
      </c>
      <c r="Q428" t="str">
        <f>IF(BikeData[[#This Row],[casual]]+BikeData[[#This Row],[registered]]=BikeData[[#This Row],[cnt]],"OK","Check")</f>
        <v>OK</v>
      </c>
      <c r="R428">
        <f>IF(BikeData[[#This Row],[yr]]=0,2011,2012)</f>
        <v>2012</v>
      </c>
      <c r="S428" t="str">
        <f>CHOOSE(BikeData[[#This Row],[season]],"Winter","Spring","Summer","Fall")</f>
        <v>Winter</v>
      </c>
      <c r="T428" t="str">
        <f>TEXT(DATE(2000,BikeData[[#This Row],[mnth]],1),"mmmm")</f>
        <v>March</v>
      </c>
      <c r="U428" t="str">
        <f>IF(BikeData[[#This Row],[workingday]]=1,"Working Day","Non-working Day")</f>
        <v>Working Day</v>
      </c>
      <c r="V428" t="str">
        <f>CHOOSE(BikeData[[#This Row],[weekday]]+1,"Sunday","Monday","Tuesday","Wednesday","Thursday","Friday","Saturday")</f>
        <v>Friday</v>
      </c>
      <c r="W428" t="str">
        <f>CHOOSE(BikeData[[#This Row],[weathersit]],"Clear / Few Clouds","Mist / Cloudy","Light Rain / Snow","Heavy Rain / Snow")</f>
        <v>Mist / Cloudy</v>
      </c>
    </row>
    <row r="429" spans="1:23" x14ac:dyDescent="0.3">
      <c r="A429">
        <v>428</v>
      </c>
      <c r="B429" s="1">
        <v>40971</v>
      </c>
      <c r="C429">
        <v>1</v>
      </c>
      <c r="D429">
        <v>1</v>
      </c>
      <c r="E429">
        <v>3</v>
      </c>
      <c r="F429">
        <v>0</v>
      </c>
      <c r="G429">
        <v>6</v>
      </c>
      <c r="H429">
        <v>0</v>
      </c>
      <c r="I429">
        <v>2</v>
      </c>
      <c r="J429">
        <v>0.41416700000000001</v>
      </c>
      <c r="K429">
        <v>0.41349200000000003</v>
      </c>
      <c r="L429">
        <v>0.62124999999999997</v>
      </c>
      <c r="M429">
        <v>0.161079</v>
      </c>
      <c r="N429">
        <v>956</v>
      </c>
      <c r="O429">
        <v>3110</v>
      </c>
      <c r="P429">
        <v>4066</v>
      </c>
      <c r="Q429" t="str">
        <f>IF(BikeData[[#This Row],[casual]]+BikeData[[#This Row],[registered]]=BikeData[[#This Row],[cnt]],"OK","Check")</f>
        <v>OK</v>
      </c>
      <c r="R429">
        <f>IF(BikeData[[#This Row],[yr]]=0,2011,2012)</f>
        <v>2012</v>
      </c>
      <c r="S429" t="str">
        <f>CHOOSE(BikeData[[#This Row],[season]],"Winter","Spring","Summer","Fall")</f>
        <v>Winter</v>
      </c>
      <c r="T429" t="str">
        <f>TEXT(DATE(2000,BikeData[[#This Row],[mnth]],1),"mmmm")</f>
        <v>March</v>
      </c>
      <c r="U429" t="str">
        <f>IF(BikeData[[#This Row],[workingday]]=1,"Working Day","Non-working Day")</f>
        <v>Non-working Day</v>
      </c>
      <c r="V429" t="str">
        <f>CHOOSE(BikeData[[#This Row],[weekday]]+1,"Sunday","Monday","Tuesday","Wednesday","Thursday","Friday","Saturday")</f>
        <v>Saturday</v>
      </c>
      <c r="W429" t="str">
        <f>CHOOSE(BikeData[[#This Row],[weathersit]],"Clear / Few Clouds","Mist / Cloudy","Light Rain / Snow","Heavy Rain / Snow")</f>
        <v>Mist / Cloudy</v>
      </c>
    </row>
    <row r="430" spans="1:23" x14ac:dyDescent="0.3">
      <c r="A430">
        <v>429</v>
      </c>
      <c r="B430" s="1">
        <v>40972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>
        <v>0.32583299999999998</v>
      </c>
      <c r="K430">
        <v>0.30302099999999998</v>
      </c>
      <c r="L430">
        <v>0.403333</v>
      </c>
      <c r="M430">
        <v>0.33457100000000001</v>
      </c>
      <c r="N430">
        <v>710</v>
      </c>
      <c r="O430">
        <v>2713</v>
      </c>
      <c r="P430">
        <v>3423</v>
      </c>
      <c r="Q430" t="str">
        <f>IF(BikeData[[#This Row],[casual]]+BikeData[[#This Row],[registered]]=BikeData[[#This Row],[cnt]],"OK","Check")</f>
        <v>OK</v>
      </c>
      <c r="R430">
        <f>IF(BikeData[[#This Row],[yr]]=0,2011,2012)</f>
        <v>2012</v>
      </c>
      <c r="S430" t="str">
        <f>CHOOSE(BikeData[[#This Row],[season]],"Winter","Spring","Summer","Fall")</f>
        <v>Winter</v>
      </c>
      <c r="T430" t="str">
        <f>TEXT(DATE(2000,BikeData[[#This Row],[mnth]],1),"mmmm")</f>
        <v>March</v>
      </c>
      <c r="U430" t="str">
        <f>IF(BikeData[[#This Row],[workingday]]=1,"Working Day","Non-working Day")</f>
        <v>Non-working Day</v>
      </c>
      <c r="V430" t="str">
        <f>CHOOSE(BikeData[[#This Row],[weekday]]+1,"Sunday","Monday","Tuesday","Wednesday","Thursday","Friday","Saturday")</f>
        <v>Sunday</v>
      </c>
      <c r="W430" t="str">
        <f>CHOOSE(BikeData[[#This Row],[weathersit]],"Clear / Few Clouds","Mist / Cloudy","Light Rain / Snow","Heavy Rain / Snow")</f>
        <v>Clear / Few Clouds</v>
      </c>
    </row>
    <row r="431" spans="1:23" x14ac:dyDescent="0.3">
      <c r="A431">
        <v>430</v>
      </c>
      <c r="B431" s="1">
        <v>40973</v>
      </c>
      <c r="C431">
        <v>1</v>
      </c>
      <c r="D431">
        <v>1</v>
      </c>
      <c r="E431">
        <v>3</v>
      </c>
      <c r="F431">
        <v>0</v>
      </c>
      <c r="G431">
        <v>1</v>
      </c>
      <c r="H431">
        <v>1</v>
      </c>
      <c r="I431">
        <v>1</v>
      </c>
      <c r="J431">
        <v>0.24333299999999999</v>
      </c>
      <c r="K431">
        <v>0.241171</v>
      </c>
      <c r="L431">
        <v>0.50624999999999998</v>
      </c>
      <c r="M431">
        <v>0.22885800000000001</v>
      </c>
      <c r="N431">
        <v>203</v>
      </c>
      <c r="O431">
        <v>3130</v>
      </c>
      <c r="P431">
        <v>3333</v>
      </c>
      <c r="Q431" t="str">
        <f>IF(BikeData[[#This Row],[casual]]+BikeData[[#This Row],[registered]]=BikeData[[#This Row],[cnt]],"OK","Check")</f>
        <v>OK</v>
      </c>
      <c r="R431">
        <f>IF(BikeData[[#This Row],[yr]]=0,2011,2012)</f>
        <v>2012</v>
      </c>
      <c r="S431" t="str">
        <f>CHOOSE(BikeData[[#This Row],[season]],"Winter","Spring","Summer","Fall")</f>
        <v>Winter</v>
      </c>
      <c r="T431" t="str">
        <f>TEXT(DATE(2000,BikeData[[#This Row],[mnth]],1),"mmmm")</f>
        <v>March</v>
      </c>
      <c r="U431" t="str">
        <f>IF(BikeData[[#This Row],[workingday]]=1,"Working Day","Non-working Day")</f>
        <v>Working Day</v>
      </c>
      <c r="V431" t="str">
        <f>CHOOSE(BikeData[[#This Row],[weekday]]+1,"Sunday","Monday","Tuesday","Wednesday","Thursday","Friday","Saturday")</f>
        <v>Monday</v>
      </c>
      <c r="W431" t="str">
        <f>CHOOSE(BikeData[[#This Row],[weathersit]],"Clear / Few Clouds","Mist / Cloudy","Light Rain / Snow","Heavy Rain / Snow")</f>
        <v>Clear / Few Clouds</v>
      </c>
    </row>
    <row r="432" spans="1:23" x14ac:dyDescent="0.3">
      <c r="A432">
        <v>431</v>
      </c>
      <c r="B432" s="1">
        <v>40974</v>
      </c>
      <c r="C432">
        <v>1</v>
      </c>
      <c r="D432">
        <v>1</v>
      </c>
      <c r="E432">
        <v>3</v>
      </c>
      <c r="F432">
        <v>0</v>
      </c>
      <c r="G432">
        <v>2</v>
      </c>
      <c r="H432">
        <v>1</v>
      </c>
      <c r="I432">
        <v>1</v>
      </c>
      <c r="J432">
        <v>0.25833299999999998</v>
      </c>
      <c r="K432">
        <v>0.25504199999999999</v>
      </c>
      <c r="L432">
        <v>0.45666699999999999</v>
      </c>
      <c r="M432">
        <v>0.200875</v>
      </c>
      <c r="N432">
        <v>221</v>
      </c>
      <c r="O432">
        <v>3735</v>
      </c>
      <c r="P432">
        <v>3956</v>
      </c>
      <c r="Q432" t="str">
        <f>IF(BikeData[[#This Row],[casual]]+BikeData[[#This Row],[registered]]=BikeData[[#This Row],[cnt]],"OK","Check")</f>
        <v>OK</v>
      </c>
      <c r="R432">
        <f>IF(BikeData[[#This Row],[yr]]=0,2011,2012)</f>
        <v>2012</v>
      </c>
      <c r="S432" t="str">
        <f>CHOOSE(BikeData[[#This Row],[season]],"Winter","Spring","Summer","Fall")</f>
        <v>Winter</v>
      </c>
      <c r="T432" t="str">
        <f>TEXT(DATE(2000,BikeData[[#This Row],[mnth]],1),"mmmm")</f>
        <v>March</v>
      </c>
      <c r="U432" t="str">
        <f>IF(BikeData[[#This Row],[workingday]]=1,"Working Day","Non-working Day")</f>
        <v>Working Day</v>
      </c>
      <c r="V432" t="str">
        <f>CHOOSE(BikeData[[#This Row],[weekday]]+1,"Sunday","Monday","Tuesday","Wednesday","Thursday","Friday","Saturday")</f>
        <v>Tuesday</v>
      </c>
      <c r="W432" t="str">
        <f>CHOOSE(BikeData[[#This Row],[weathersit]],"Clear / Few Clouds","Mist / Cloudy","Light Rain / Snow","Heavy Rain / Snow")</f>
        <v>Clear / Few Clouds</v>
      </c>
    </row>
    <row r="433" spans="1:23" x14ac:dyDescent="0.3">
      <c r="A433">
        <v>432</v>
      </c>
      <c r="B433" s="1">
        <v>40975</v>
      </c>
      <c r="C433">
        <v>1</v>
      </c>
      <c r="D433">
        <v>1</v>
      </c>
      <c r="E433">
        <v>3</v>
      </c>
      <c r="F433">
        <v>0</v>
      </c>
      <c r="G433">
        <v>3</v>
      </c>
      <c r="H433">
        <v>1</v>
      </c>
      <c r="I433">
        <v>1</v>
      </c>
      <c r="J433">
        <v>0.404167</v>
      </c>
      <c r="K433">
        <v>0.3851</v>
      </c>
      <c r="L433">
        <v>0.51333300000000004</v>
      </c>
      <c r="M433">
        <v>0.345779</v>
      </c>
      <c r="N433">
        <v>432</v>
      </c>
      <c r="O433">
        <v>4484</v>
      </c>
      <c r="P433">
        <v>4916</v>
      </c>
      <c r="Q433" t="str">
        <f>IF(BikeData[[#This Row],[casual]]+BikeData[[#This Row],[registered]]=BikeData[[#This Row],[cnt]],"OK","Check")</f>
        <v>OK</v>
      </c>
      <c r="R433">
        <f>IF(BikeData[[#This Row],[yr]]=0,2011,2012)</f>
        <v>2012</v>
      </c>
      <c r="S433" t="str">
        <f>CHOOSE(BikeData[[#This Row],[season]],"Winter","Spring","Summer","Fall")</f>
        <v>Winter</v>
      </c>
      <c r="T433" t="str">
        <f>TEXT(DATE(2000,BikeData[[#This Row],[mnth]],1),"mmmm")</f>
        <v>March</v>
      </c>
      <c r="U433" t="str">
        <f>IF(BikeData[[#This Row],[workingday]]=1,"Working Day","Non-working Day")</f>
        <v>Working Day</v>
      </c>
      <c r="V433" t="str">
        <f>CHOOSE(BikeData[[#This Row],[weekday]]+1,"Sunday","Monday","Tuesday","Wednesday","Thursday","Friday","Saturday")</f>
        <v>Wednesday</v>
      </c>
      <c r="W433" t="str">
        <f>CHOOSE(BikeData[[#This Row],[weathersit]],"Clear / Few Clouds","Mist / Cloudy","Light Rain / Snow","Heavy Rain / Snow")</f>
        <v>Clear / Few Clouds</v>
      </c>
    </row>
    <row r="434" spans="1:23" x14ac:dyDescent="0.3">
      <c r="A434">
        <v>433</v>
      </c>
      <c r="B434" s="1">
        <v>40976</v>
      </c>
      <c r="C434">
        <v>1</v>
      </c>
      <c r="D434">
        <v>1</v>
      </c>
      <c r="E434">
        <v>3</v>
      </c>
      <c r="F434">
        <v>0</v>
      </c>
      <c r="G434">
        <v>4</v>
      </c>
      <c r="H434">
        <v>1</v>
      </c>
      <c r="I434">
        <v>1</v>
      </c>
      <c r="J434">
        <v>0.52749999999999997</v>
      </c>
      <c r="K434">
        <v>0.52460399999999996</v>
      </c>
      <c r="L434">
        <v>0.5675</v>
      </c>
      <c r="M434">
        <v>0.44156299999999998</v>
      </c>
      <c r="N434">
        <v>486</v>
      </c>
      <c r="O434">
        <v>4896</v>
      </c>
      <c r="P434">
        <v>5382</v>
      </c>
      <c r="Q434" t="str">
        <f>IF(BikeData[[#This Row],[casual]]+BikeData[[#This Row],[registered]]=BikeData[[#This Row],[cnt]],"OK","Check")</f>
        <v>OK</v>
      </c>
      <c r="R434">
        <f>IF(BikeData[[#This Row],[yr]]=0,2011,2012)</f>
        <v>2012</v>
      </c>
      <c r="S434" t="str">
        <f>CHOOSE(BikeData[[#This Row],[season]],"Winter","Spring","Summer","Fall")</f>
        <v>Winter</v>
      </c>
      <c r="T434" t="str">
        <f>TEXT(DATE(2000,BikeData[[#This Row],[mnth]],1),"mmmm")</f>
        <v>March</v>
      </c>
      <c r="U434" t="str">
        <f>IF(BikeData[[#This Row],[workingday]]=1,"Working Day","Non-working Day")</f>
        <v>Working Day</v>
      </c>
      <c r="V434" t="str">
        <f>CHOOSE(BikeData[[#This Row],[weekday]]+1,"Sunday","Monday","Tuesday","Wednesday","Thursday","Friday","Saturday")</f>
        <v>Thursday</v>
      </c>
      <c r="W434" t="str">
        <f>CHOOSE(BikeData[[#This Row],[weathersit]],"Clear / Few Clouds","Mist / Cloudy","Light Rain / Snow","Heavy Rain / Snow")</f>
        <v>Clear / Few Clouds</v>
      </c>
    </row>
    <row r="435" spans="1:23" x14ac:dyDescent="0.3">
      <c r="A435">
        <v>434</v>
      </c>
      <c r="B435" s="1">
        <v>40977</v>
      </c>
      <c r="C435">
        <v>1</v>
      </c>
      <c r="D435">
        <v>1</v>
      </c>
      <c r="E435">
        <v>3</v>
      </c>
      <c r="F435">
        <v>0</v>
      </c>
      <c r="G435">
        <v>5</v>
      </c>
      <c r="H435">
        <v>1</v>
      </c>
      <c r="I435">
        <v>2</v>
      </c>
      <c r="J435">
        <v>0.410833</v>
      </c>
      <c r="K435">
        <v>0.39708300000000002</v>
      </c>
      <c r="L435">
        <v>0.40708299999999997</v>
      </c>
      <c r="M435">
        <v>0.4148</v>
      </c>
      <c r="N435">
        <v>447</v>
      </c>
      <c r="O435">
        <v>4122</v>
      </c>
      <c r="P435">
        <v>4569</v>
      </c>
      <c r="Q435" t="str">
        <f>IF(BikeData[[#This Row],[casual]]+BikeData[[#This Row],[registered]]=BikeData[[#This Row],[cnt]],"OK","Check")</f>
        <v>OK</v>
      </c>
      <c r="R435">
        <f>IF(BikeData[[#This Row],[yr]]=0,2011,2012)</f>
        <v>2012</v>
      </c>
      <c r="S435" t="str">
        <f>CHOOSE(BikeData[[#This Row],[season]],"Winter","Spring","Summer","Fall")</f>
        <v>Winter</v>
      </c>
      <c r="T435" t="str">
        <f>TEXT(DATE(2000,BikeData[[#This Row],[mnth]],1),"mmmm")</f>
        <v>March</v>
      </c>
      <c r="U435" t="str">
        <f>IF(BikeData[[#This Row],[workingday]]=1,"Working Day","Non-working Day")</f>
        <v>Working Day</v>
      </c>
      <c r="V435" t="str">
        <f>CHOOSE(BikeData[[#This Row],[weekday]]+1,"Sunday","Monday","Tuesday","Wednesday","Thursday","Friday","Saturday")</f>
        <v>Friday</v>
      </c>
      <c r="W435" t="str">
        <f>CHOOSE(BikeData[[#This Row],[weathersit]],"Clear / Few Clouds","Mist / Cloudy","Light Rain / Snow","Heavy Rain / Snow")</f>
        <v>Mist / Cloudy</v>
      </c>
    </row>
    <row r="436" spans="1:23" x14ac:dyDescent="0.3">
      <c r="A436">
        <v>435</v>
      </c>
      <c r="B436" s="1">
        <v>40978</v>
      </c>
      <c r="C436">
        <v>1</v>
      </c>
      <c r="D436">
        <v>1</v>
      </c>
      <c r="E436">
        <v>3</v>
      </c>
      <c r="F436">
        <v>0</v>
      </c>
      <c r="G436">
        <v>6</v>
      </c>
      <c r="H436">
        <v>0</v>
      </c>
      <c r="I436">
        <v>1</v>
      </c>
      <c r="J436">
        <v>0.28749999999999998</v>
      </c>
      <c r="K436">
        <v>0.27776699999999999</v>
      </c>
      <c r="L436">
        <v>0.35041699999999998</v>
      </c>
      <c r="M436">
        <v>0.22575000000000001</v>
      </c>
      <c r="N436">
        <v>968</v>
      </c>
      <c r="O436">
        <v>3150</v>
      </c>
      <c r="P436">
        <v>4118</v>
      </c>
      <c r="Q436" t="str">
        <f>IF(BikeData[[#This Row],[casual]]+BikeData[[#This Row],[registered]]=BikeData[[#This Row],[cnt]],"OK","Check")</f>
        <v>OK</v>
      </c>
      <c r="R436">
        <f>IF(BikeData[[#This Row],[yr]]=0,2011,2012)</f>
        <v>2012</v>
      </c>
      <c r="S436" t="str">
        <f>CHOOSE(BikeData[[#This Row],[season]],"Winter","Spring","Summer","Fall")</f>
        <v>Winter</v>
      </c>
      <c r="T436" t="str">
        <f>TEXT(DATE(2000,BikeData[[#This Row],[mnth]],1),"mmmm")</f>
        <v>March</v>
      </c>
      <c r="U436" t="str">
        <f>IF(BikeData[[#This Row],[workingday]]=1,"Working Day","Non-working Day")</f>
        <v>Non-working Day</v>
      </c>
      <c r="V436" t="str">
        <f>CHOOSE(BikeData[[#This Row],[weekday]]+1,"Sunday","Monday","Tuesday","Wednesday","Thursday","Friday","Saturday")</f>
        <v>Saturday</v>
      </c>
      <c r="W436" t="str">
        <f>CHOOSE(BikeData[[#This Row],[weathersit]],"Clear / Few Clouds","Mist / Cloudy","Light Rain / Snow","Heavy Rain / Snow")</f>
        <v>Clear / Few Clouds</v>
      </c>
    </row>
    <row r="437" spans="1:23" x14ac:dyDescent="0.3">
      <c r="A437">
        <v>436</v>
      </c>
      <c r="B437" s="1">
        <v>40979</v>
      </c>
      <c r="C437">
        <v>1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1</v>
      </c>
      <c r="J437">
        <v>0.36173899999999998</v>
      </c>
      <c r="K437">
        <v>0.35966999999999999</v>
      </c>
      <c r="L437">
        <v>0.47695700000000002</v>
      </c>
      <c r="M437">
        <v>0.22258700000000001</v>
      </c>
      <c r="N437">
        <v>1658</v>
      </c>
      <c r="O437">
        <v>3253</v>
      </c>
      <c r="P437">
        <v>4911</v>
      </c>
      <c r="Q437" t="str">
        <f>IF(BikeData[[#This Row],[casual]]+BikeData[[#This Row],[registered]]=BikeData[[#This Row],[cnt]],"OK","Check")</f>
        <v>OK</v>
      </c>
      <c r="R437">
        <f>IF(BikeData[[#This Row],[yr]]=0,2011,2012)</f>
        <v>2012</v>
      </c>
      <c r="S437" t="str">
        <f>CHOOSE(BikeData[[#This Row],[season]],"Winter","Spring","Summer","Fall")</f>
        <v>Winter</v>
      </c>
      <c r="T437" t="str">
        <f>TEXT(DATE(2000,BikeData[[#This Row],[mnth]],1),"mmmm")</f>
        <v>March</v>
      </c>
      <c r="U437" t="str">
        <f>IF(BikeData[[#This Row],[workingday]]=1,"Working Day","Non-working Day")</f>
        <v>Non-working Day</v>
      </c>
      <c r="V437" t="str">
        <f>CHOOSE(BikeData[[#This Row],[weekday]]+1,"Sunday","Monday","Tuesday","Wednesday","Thursday","Friday","Saturday")</f>
        <v>Sunday</v>
      </c>
      <c r="W437" t="str">
        <f>CHOOSE(BikeData[[#This Row],[weathersit]],"Clear / Few Clouds","Mist / Cloudy","Light Rain / Snow","Heavy Rain / Snow")</f>
        <v>Clear / Few Clouds</v>
      </c>
    </row>
    <row r="438" spans="1:23" x14ac:dyDescent="0.3">
      <c r="A438">
        <v>437</v>
      </c>
      <c r="B438" s="1">
        <v>40980</v>
      </c>
      <c r="C438">
        <v>1</v>
      </c>
      <c r="D438">
        <v>1</v>
      </c>
      <c r="E438">
        <v>3</v>
      </c>
      <c r="F438">
        <v>0</v>
      </c>
      <c r="G438">
        <v>1</v>
      </c>
      <c r="H438">
        <v>1</v>
      </c>
      <c r="I438">
        <v>1</v>
      </c>
      <c r="J438">
        <v>0.466667</v>
      </c>
      <c r="K438">
        <v>0.459592</v>
      </c>
      <c r="L438">
        <v>0.48916700000000002</v>
      </c>
      <c r="M438">
        <v>0.20771300000000001</v>
      </c>
      <c r="N438">
        <v>838</v>
      </c>
      <c r="O438">
        <v>4460</v>
      </c>
      <c r="P438">
        <v>5298</v>
      </c>
      <c r="Q438" t="str">
        <f>IF(BikeData[[#This Row],[casual]]+BikeData[[#This Row],[registered]]=BikeData[[#This Row],[cnt]],"OK","Check")</f>
        <v>OK</v>
      </c>
      <c r="R438">
        <f>IF(BikeData[[#This Row],[yr]]=0,2011,2012)</f>
        <v>2012</v>
      </c>
      <c r="S438" t="str">
        <f>CHOOSE(BikeData[[#This Row],[season]],"Winter","Spring","Summer","Fall")</f>
        <v>Winter</v>
      </c>
      <c r="T438" t="str">
        <f>TEXT(DATE(2000,BikeData[[#This Row],[mnth]],1),"mmmm")</f>
        <v>March</v>
      </c>
      <c r="U438" t="str">
        <f>IF(BikeData[[#This Row],[workingday]]=1,"Working Day","Non-working Day")</f>
        <v>Working Day</v>
      </c>
      <c r="V438" t="str">
        <f>CHOOSE(BikeData[[#This Row],[weekday]]+1,"Sunday","Monday","Tuesday","Wednesday","Thursday","Friday","Saturday")</f>
        <v>Monday</v>
      </c>
      <c r="W438" t="str">
        <f>CHOOSE(BikeData[[#This Row],[weathersit]],"Clear / Few Clouds","Mist / Cloudy","Light Rain / Snow","Heavy Rain / Snow")</f>
        <v>Clear / Few Clouds</v>
      </c>
    </row>
    <row r="439" spans="1:23" x14ac:dyDescent="0.3">
      <c r="A439">
        <v>438</v>
      </c>
      <c r="B439" s="1">
        <v>40981</v>
      </c>
      <c r="C439">
        <v>1</v>
      </c>
      <c r="D439">
        <v>1</v>
      </c>
      <c r="E439">
        <v>3</v>
      </c>
      <c r="F439">
        <v>0</v>
      </c>
      <c r="G439">
        <v>2</v>
      </c>
      <c r="H439">
        <v>1</v>
      </c>
      <c r="I439">
        <v>1</v>
      </c>
      <c r="J439">
        <v>0.56499999999999995</v>
      </c>
      <c r="K439">
        <v>0.54292899999999999</v>
      </c>
      <c r="L439">
        <v>0.61750000000000005</v>
      </c>
      <c r="M439">
        <v>0.23694999999999999</v>
      </c>
      <c r="N439">
        <v>762</v>
      </c>
      <c r="O439">
        <v>5085</v>
      </c>
      <c r="P439">
        <v>5847</v>
      </c>
      <c r="Q439" t="str">
        <f>IF(BikeData[[#This Row],[casual]]+BikeData[[#This Row],[registered]]=BikeData[[#This Row],[cnt]],"OK","Check")</f>
        <v>OK</v>
      </c>
      <c r="R439">
        <f>IF(BikeData[[#This Row],[yr]]=0,2011,2012)</f>
        <v>2012</v>
      </c>
      <c r="S439" t="str">
        <f>CHOOSE(BikeData[[#This Row],[season]],"Winter","Spring","Summer","Fall")</f>
        <v>Winter</v>
      </c>
      <c r="T439" t="str">
        <f>TEXT(DATE(2000,BikeData[[#This Row],[mnth]],1),"mmmm")</f>
        <v>March</v>
      </c>
      <c r="U439" t="str">
        <f>IF(BikeData[[#This Row],[workingday]]=1,"Working Day","Non-working Day")</f>
        <v>Working Day</v>
      </c>
      <c r="V439" t="str">
        <f>CHOOSE(BikeData[[#This Row],[weekday]]+1,"Sunday","Monday","Tuesday","Wednesday","Thursday","Friday","Saturday")</f>
        <v>Tuesday</v>
      </c>
      <c r="W439" t="str">
        <f>CHOOSE(BikeData[[#This Row],[weathersit]],"Clear / Few Clouds","Mist / Cloudy","Light Rain / Snow","Heavy Rain / Snow")</f>
        <v>Clear / Few Clouds</v>
      </c>
    </row>
    <row r="440" spans="1:23" x14ac:dyDescent="0.3">
      <c r="A440">
        <v>439</v>
      </c>
      <c r="B440" s="1">
        <v>40982</v>
      </c>
      <c r="C440">
        <v>1</v>
      </c>
      <c r="D440">
        <v>1</v>
      </c>
      <c r="E440">
        <v>3</v>
      </c>
      <c r="F440">
        <v>0</v>
      </c>
      <c r="G440">
        <v>3</v>
      </c>
      <c r="H440">
        <v>1</v>
      </c>
      <c r="I440">
        <v>1</v>
      </c>
      <c r="J440">
        <v>0.57250000000000001</v>
      </c>
      <c r="K440">
        <v>0.54861700000000002</v>
      </c>
      <c r="L440">
        <v>0.50708299999999995</v>
      </c>
      <c r="M440">
        <v>0.115062</v>
      </c>
      <c r="N440">
        <v>997</v>
      </c>
      <c r="O440">
        <v>5315</v>
      </c>
      <c r="P440">
        <v>6312</v>
      </c>
      <c r="Q440" t="str">
        <f>IF(BikeData[[#This Row],[casual]]+BikeData[[#This Row],[registered]]=BikeData[[#This Row],[cnt]],"OK","Check")</f>
        <v>OK</v>
      </c>
      <c r="R440">
        <f>IF(BikeData[[#This Row],[yr]]=0,2011,2012)</f>
        <v>2012</v>
      </c>
      <c r="S440" t="str">
        <f>CHOOSE(BikeData[[#This Row],[season]],"Winter","Spring","Summer","Fall")</f>
        <v>Winter</v>
      </c>
      <c r="T440" t="str">
        <f>TEXT(DATE(2000,BikeData[[#This Row],[mnth]],1),"mmmm")</f>
        <v>March</v>
      </c>
      <c r="U440" t="str">
        <f>IF(BikeData[[#This Row],[workingday]]=1,"Working Day","Non-working Day")</f>
        <v>Working Day</v>
      </c>
      <c r="V440" t="str">
        <f>CHOOSE(BikeData[[#This Row],[weekday]]+1,"Sunday","Monday","Tuesday","Wednesday","Thursday","Friday","Saturday")</f>
        <v>Wednesday</v>
      </c>
      <c r="W440" t="str">
        <f>CHOOSE(BikeData[[#This Row],[weathersit]],"Clear / Few Clouds","Mist / Cloudy","Light Rain / Snow","Heavy Rain / Snow")</f>
        <v>Clear / Few Clouds</v>
      </c>
    </row>
    <row r="441" spans="1:23" x14ac:dyDescent="0.3">
      <c r="A441">
        <v>440</v>
      </c>
      <c r="B441" s="1">
        <v>40983</v>
      </c>
      <c r="C441">
        <v>1</v>
      </c>
      <c r="D441">
        <v>1</v>
      </c>
      <c r="E441">
        <v>3</v>
      </c>
      <c r="F441">
        <v>0</v>
      </c>
      <c r="G441">
        <v>4</v>
      </c>
      <c r="H441">
        <v>1</v>
      </c>
      <c r="I441">
        <v>1</v>
      </c>
      <c r="J441">
        <v>0.5575</v>
      </c>
      <c r="K441">
        <v>0.53282499999999999</v>
      </c>
      <c r="L441">
        <v>0.57958299999999996</v>
      </c>
      <c r="M441">
        <v>0.14988299999999999</v>
      </c>
      <c r="N441">
        <v>1005</v>
      </c>
      <c r="O441">
        <v>5187</v>
      </c>
      <c r="P441">
        <v>6192</v>
      </c>
      <c r="Q441" t="str">
        <f>IF(BikeData[[#This Row],[casual]]+BikeData[[#This Row],[registered]]=BikeData[[#This Row],[cnt]],"OK","Check")</f>
        <v>OK</v>
      </c>
      <c r="R441">
        <f>IF(BikeData[[#This Row],[yr]]=0,2011,2012)</f>
        <v>2012</v>
      </c>
      <c r="S441" t="str">
        <f>CHOOSE(BikeData[[#This Row],[season]],"Winter","Spring","Summer","Fall")</f>
        <v>Winter</v>
      </c>
      <c r="T441" t="str">
        <f>TEXT(DATE(2000,BikeData[[#This Row],[mnth]],1),"mmmm")</f>
        <v>March</v>
      </c>
      <c r="U441" t="str">
        <f>IF(BikeData[[#This Row],[workingday]]=1,"Working Day","Non-working Day")</f>
        <v>Working Day</v>
      </c>
      <c r="V441" t="str">
        <f>CHOOSE(BikeData[[#This Row],[weekday]]+1,"Sunday","Monday","Tuesday","Wednesday","Thursday","Friday","Saturday")</f>
        <v>Thursday</v>
      </c>
      <c r="W441" t="str">
        <f>CHOOSE(BikeData[[#This Row],[weathersit]],"Clear / Few Clouds","Mist / Cloudy","Light Rain / Snow","Heavy Rain / Snow")</f>
        <v>Clear / Few Clouds</v>
      </c>
    </row>
    <row r="442" spans="1:23" x14ac:dyDescent="0.3">
      <c r="A442">
        <v>441</v>
      </c>
      <c r="B442" s="1">
        <v>40984</v>
      </c>
      <c r="C442">
        <v>1</v>
      </c>
      <c r="D442">
        <v>1</v>
      </c>
      <c r="E442">
        <v>3</v>
      </c>
      <c r="F442">
        <v>0</v>
      </c>
      <c r="G442">
        <v>5</v>
      </c>
      <c r="H442">
        <v>1</v>
      </c>
      <c r="I442">
        <v>2</v>
      </c>
      <c r="J442">
        <v>0.43583300000000003</v>
      </c>
      <c r="K442">
        <v>0.43622899999999998</v>
      </c>
      <c r="L442">
        <v>0.84208300000000003</v>
      </c>
      <c r="M442">
        <v>0.113192</v>
      </c>
      <c r="N442">
        <v>548</v>
      </c>
      <c r="O442">
        <v>3830</v>
      </c>
      <c r="P442">
        <v>4378</v>
      </c>
      <c r="Q442" t="str">
        <f>IF(BikeData[[#This Row],[casual]]+BikeData[[#This Row],[registered]]=BikeData[[#This Row],[cnt]],"OK","Check")</f>
        <v>OK</v>
      </c>
      <c r="R442">
        <f>IF(BikeData[[#This Row],[yr]]=0,2011,2012)</f>
        <v>2012</v>
      </c>
      <c r="S442" t="str">
        <f>CHOOSE(BikeData[[#This Row],[season]],"Winter","Spring","Summer","Fall")</f>
        <v>Winter</v>
      </c>
      <c r="T442" t="str">
        <f>TEXT(DATE(2000,BikeData[[#This Row],[mnth]],1),"mmmm")</f>
        <v>March</v>
      </c>
      <c r="U442" t="str">
        <f>IF(BikeData[[#This Row],[workingday]]=1,"Working Day","Non-working Day")</f>
        <v>Working Day</v>
      </c>
      <c r="V442" t="str">
        <f>CHOOSE(BikeData[[#This Row],[weekday]]+1,"Sunday","Monday","Tuesday","Wednesday","Thursday","Friday","Saturday")</f>
        <v>Friday</v>
      </c>
      <c r="W442" t="str">
        <f>CHOOSE(BikeData[[#This Row],[weathersit]],"Clear / Few Clouds","Mist / Cloudy","Light Rain / Snow","Heavy Rain / Snow")</f>
        <v>Mist / Cloudy</v>
      </c>
    </row>
    <row r="443" spans="1:23" x14ac:dyDescent="0.3">
      <c r="A443">
        <v>442</v>
      </c>
      <c r="B443" s="1">
        <v>40985</v>
      </c>
      <c r="C443">
        <v>1</v>
      </c>
      <c r="D443">
        <v>1</v>
      </c>
      <c r="E443">
        <v>3</v>
      </c>
      <c r="F443">
        <v>0</v>
      </c>
      <c r="G443">
        <v>6</v>
      </c>
      <c r="H443">
        <v>0</v>
      </c>
      <c r="I443">
        <v>2</v>
      </c>
      <c r="J443">
        <v>0.51416700000000004</v>
      </c>
      <c r="K443">
        <v>0.50504599999999999</v>
      </c>
      <c r="L443">
        <v>0.75583299999999998</v>
      </c>
      <c r="M443">
        <v>0.110704</v>
      </c>
      <c r="N443">
        <v>3155</v>
      </c>
      <c r="O443">
        <v>4681</v>
      </c>
      <c r="P443">
        <v>7836</v>
      </c>
      <c r="Q443" t="str">
        <f>IF(BikeData[[#This Row],[casual]]+BikeData[[#This Row],[registered]]=BikeData[[#This Row],[cnt]],"OK","Check")</f>
        <v>OK</v>
      </c>
      <c r="R443">
        <f>IF(BikeData[[#This Row],[yr]]=0,2011,2012)</f>
        <v>2012</v>
      </c>
      <c r="S443" t="str">
        <f>CHOOSE(BikeData[[#This Row],[season]],"Winter","Spring","Summer","Fall")</f>
        <v>Winter</v>
      </c>
      <c r="T443" t="str">
        <f>TEXT(DATE(2000,BikeData[[#This Row],[mnth]],1),"mmmm")</f>
        <v>March</v>
      </c>
      <c r="U443" t="str">
        <f>IF(BikeData[[#This Row],[workingday]]=1,"Working Day","Non-working Day")</f>
        <v>Non-working Day</v>
      </c>
      <c r="V443" t="str">
        <f>CHOOSE(BikeData[[#This Row],[weekday]]+1,"Sunday","Monday","Tuesday","Wednesday","Thursday","Friday","Saturday")</f>
        <v>Saturday</v>
      </c>
      <c r="W443" t="str">
        <f>CHOOSE(BikeData[[#This Row],[weathersit]],"Clear / Few Clouds","Mist / Cloudy","Light Rain / Snow","Heavy Rain / Snow")</f>
        <v>Mist / Cloudy</v>
      </c>
    </row>
    <row r="444" spans="1:23" x14ac:dyDescent="0.3">
      <c r="A444">
        <v>443</v>
      </c>
      <c r="B444" s="1">
        <v>40986</v>
      </c>
      <c r="C444">
        <v>1</v>
      </c>
      <c r="D444">
        <v>1</v>
      </c>
      <c r="E444">
        <v>3</v>
      </c>
      <c r="F444">
        <v>0</v>
      </c>
      <c r="G444">
        <v>0</v>
      </c>
      <c r="H444">
        <v>0</v>
      </c>
      <c r="I444">
        <v>2</v>
      </c>
      <c r="J444">
        <v>0.47249999999999998</v>
      </c>
      <c r="K444">
        <v>0.46400000000000002</v>
      </c>
      <c r="L444">
        <v>0.81</v>
      </c>
      <c r="M444">
        <v>0.126883</v>
      </c>
      <c r="N444">
        <v>2207</v>
      </c>
      <c r="O444">
        <v>3685</v>
      </c>
      <c r="P444">
        <v>5892</v>
      </c>
      <c r="Q444" t="str">
        <f>IF(BikeData[[#This Row],[casual]]+BikeData[[#This Row],[registered]]=BikeData[[#This Row],[cnt]],"OK","Check")</f>
        <v>OK</v>
      </c>
      <c r="R444">
        <f>IF(BikeData[[#This Row],[yr]]=0,2011,2012)</f>
        <v>2012</v>
      </c>
      <c r="S444" t="str">
        <f>CHOOSE(BikeData[[#This Row],[season]],"Winter","Spring","Summer","Fall")</f>
        <v>Winter</v>
      </c>
      <c r="T444" t="str">
        <f>TEXT(DATE(2000,BikeData[[#This Row],[mnth]],1),"mmmm")</f>
        <v>March</v>
      </c>
      <c r="U444" t="str">
        <f>IF(BikeData[[#This Row],[workingday]]=1,"Working Day","Non-working Day")</f>
        <v>Non-working Day</v>
      </c>
      <c r="V444" t="str">
        <f>CHOOSE(BikeData[[#This Row],[weekday]]+1,"Sunday","Monday","Tuesday","Wednesday","Thursday","Friday","Saturday")</f>
        <v>Sunday</v>
      </c>
      <c r="W444" t="str">
        <f>CHOOSE(BikeData[[#This Row],[weathersit]],"Clear / Few Clouds","Mist / Cloudy","Light Rain / Snow","Heavy Rain / Snow")</f>
        <v>Mist / Cloudy</v>
      </c>
    </row>
    <row r="445" spans="1:23" x14ac:dyDescent="0.3">
      <c r="A445">
        <v>444</v>
      </c>
      <c r="B445" s="1">
        <v>40987</v>
      </c>
      <c r="C445">
        <v>1</v>
      </c>
      <c r="D445">
        <v>1</v>
      </c>
      <c r="E445">
        <v>3</v>
      </c>
      <c r="F445">
        <v>0</v>
      </c>
      <c r="G445">
        <v>1</v>
      </c>
      <c r="H445">
        <v>1</v>
      </c>
      <c r="I445">
        <v>1</v>
      </c>
      <c r="J445">
        <v>0.54500000000000004</v>
      </c>
      <c r="K445">
        <v>0.53282099999999999</v>
      </c>
      <c r="L445">
        <v>0.72875000000000001</v>
      </c>
      <c r="M445">
        <v>0.16231699999999999</v>
      </c>
      <c r="N445">
        <v>982</v>
      </c>
      <c r="O445">
        <v>5171</v>
      </c>
      <c r="P445">
        <v>6153</v>
      </c>
      <c r="Q445" t="str">
        <f>IF(BikeData[[#This Row],[casual]]+BikeData[[#This Row],[registered]]=BikeData[[#This Row],[cnt]],"OK","Check")</f>
        <v>OK</v>
      </c>
      <c r="R445">
        <f>IF(BikeData[[#This Row],[yr]]=0,2011,2012)</f>
        <v>2012</v>
      </c>
      <c r="S445" t="str">
        <f>CHOOSE(BikeData[[#This Row],[season]],"Winter","Spring","Summer","Fall")</f>
        <v>Winter</v>
      </c>
      <c r="T445" t="str">
        <f>TEXT(DATE(2000,BikeData[[#This Row],[mnth]],1),"mmmm")</f>
        <v>March</v>
      </c>
      <c r="U445" t="str">
        <f>IF(BikeData[[#This Row],[workingday]]=1,"Working Day","Non-working Day")</f>
        <v>Working Day</v>
      </c>
      <c r="V445" t="str">
        <f>CHOOSE(BikeData[[#This Row],[weekday]]+1,"Sunday","Monday","Tuesday","Wednesday","Thursday","Friday","Saturday")</f>
        <v>Monday</v>
      </c>
      <c r="W445" t="str">
        <f>CHOOSE(BikeData[[#This Row],[weathersit]],"Clear / Few Clouds","Mist / Cloudy","Light Rain / Snow","Heavy Rain / Snow")</f>
        <v>Clear / Few Clouds</v>
      </c>
    </row>
    <row r="446" spans="1:23" x14ac:dyDescent="0.3">
      <c r="A446">
        <v>445</v>
      </c>
      <c r="B446" s="1">
        <v>40988</v>
      </c>
      <c r="C446">
        <v>1</v>
      </c>
      <c r="D446">
        <v>1</v>
      </c>
      <c r="E446">
        <v>3</v>
      </c>
      <c r="F446">
        <v>0</v>
      </c>
      <c r="G446">
        <v>2</v>
      </c>
      <c r="H446">
        <v>1</v>
      </c>
      <c r="I446">
        <v>1</v>
      </c>
      <c r="J446">
        <v>0.56083300000000003</v>
      </c>
      <c r="K446">
        <v>0.53853300000000004</v>
      </c>
      <c r="L446">
        <v>0.807917</v>
      </c>
      <c r="M446">
        <v>0.121271</v>
      </c>
      <c r="N446">
        <v>1051</v>
      </c>
      <c r="O446">
        <v>5042</v>
      </c>
      <c r="P446">
        <v>6093</v>
      </c>
      <c r="Q446" t="str">
        <f>IF(BikeData[[#This Row],[casual]]+BikeData[[#This Row],[registered]]=BikeData[[#This Row],[cnt]],"OK","Check")</f>
        <v>OK</v>
      </c>
      <c r="R446">
        <f>IF(BikeData[[#This Row],[yr]]=0,2011,2012)</f>
        <v>2012</v>
      </c>
      <c r="S446" t="str">
        <f>CHOOSE(BikeData[[#This Row],[season]],"Winter","Spring","Summer","Fall")</f>
        <v>Winter</v>
      </c>
      <c r="T446" t="str">
        <f>TEXT(DATE(2000,BikeData[[#This Row],[mnth]],1),"mmmm")</f>
        <v>March</v>
      </c>
      <c r="U446" t="str">
        <f>IF(BikeData[[#This Row],[workingday]]=1,"Working Day","Non-working Day")</f>
        <v>Working Day</v>
      </c>
      <c r="V446" t="str">
        <f>CHOOSE(BikeData[[#This Row],[weekday]]+1,"Sunday","Monday","Tuesday","Wednesday","Thursday","Friday","Saturday")</f>
        <v>Tuesday</v>
      </c>
      <c r="W446" t="str">
        <f>CHOOSE(BikeData[[#This Row],[weathersit]],"Clear / Few Clouds","Mist / Cloudy","Light Rain / Snow","Heavy Rain / Snow")</f>
        <v>Clear / Few Clouds</v>
      </c>
    </row>
    <row r="447" spans="1:23" x14ac:dyDescent="0.3">
      <c r="A447">
        <v>446</v>
      </c>
      <c r="B447" s="1">
        <v>40989</v>
      </c>
      <c r="C447">
        <v>2</v>
      </c>
      <c r="D447">
        <v>1</v>
      </c>
      <c r="E447">
        <v>3</v>
      </c>
      <c r="F447">
        <v>0</v>
      </c>
      <c r="G447">
        <v>3</v>
      </c>
      <c r="H447">
        <v>1</v>
      </c>
      <c r="I447">
        <v>2</v>
      </c>
      <c r="J447">
        <v>0.531667</v>
      </c>
      <c r="K447">
        <v>0.51325799999999999</v>
      </c>
      <c r="L447">
        <v>0.82125000000000004</v>
      </c>
      <c r="M447">
        <v>8.9558299999999993E-2</v>
      </c>
      <c r="N447">
        <v>1122</v>
      </c>
      <c r="O447">
        <v>5108</v>
      </c>
      <c r="P447">
        <v>6230</v>
      </c>
      <c r="Q447" t="str">
        <f>IF(BikeData[[#This Row],[casual]]+BikeData[[#This Row],[registered]]=BikeData[[#This Row],[cnt]],"OK","Check")</f>
        <v>OK</v>
      </c>
      <c r="R447">
        <f>IF(BikeData[[#This Row],[yr]]=0,2011,2012)</f>
        <v>2012</v>
      </c>
      <c r="S447" t="str">
        <f>CHOOSE(BikeData[[#This Row],[season]],"Winter","Spring","Summer","Fall")</f>
        <v>Spring</v>
      </c>
      <c r="T447" t="str">
        <f>TEXT(DATE(2000,BikeData[[#This Row],[mnth]],1),"mmmm")</f>
        <v>March</v>
      </c>
      <c r="U447" t="str">
        <f>IF(BikeData[[#This Row],[workingday]]=1,"Working Day","Non-working Day")</f>
        <v>Working Day</v>
      </c>
      <c r="V447" t="str">
        <f>CHOOSE(BikeData[[#This Row],[weekday]]+1,"Sunday","Monday","Tuesday","Wednesday","Thursday","Friday","Saturday")</f>
        <v>Wednesday</v>
      </c>
      <c r="W447" t="str">
        <f>CHOOSE(BikeData[[#This Row],[weathersit]],"Clear / Few Clouds","Mist / Cloudy","Light Rain / Snow","Heavy Rain / Snow")</f>
        <v>Mist / Cloudy</v>
      </c>
    </row>
    <row r="448" spans="1:23" x14ac:dyDescent="0.3">
      <c r="A448">
        <v>447</v>
      </c>
      <c r="B448" s="1">
        <v>40990</v>
      </c>
      <c r="C448">
        <v>2</v>
      </c>
      <c r="D448">
        <v>1</v>
      </c>
      <c r="E448">
        <v>3</v>
      </c>
      <c r="F448">
        <v>0</v>
      </c>
      <c r="G448">
        <v>4</v>
      </c>
      <c r="H448">
        <v>1</v>
      </c>
      <c r="I448">
        <v>1</v>
      </c>
      <c r="J448">
        <v>0.55416699999999997</v>
      </c>
      <c r="K448">
        <v>0.53156700000000001</v>
      </c>
      <c r="L448">
        <v>0.83125000000000004</v>
      </c>
      <c r="M448">
        <v>0.117562</v>
      </c>
      <c r="N448">
        <v>1334</v>
      </c>
      <c r="O448">
        <v>5537</v>
      </c>
      <c r="P448">
        <v>6871</v>
      </c>
      <c r="Q448" t="str">
        <f>IF(BikeData[[#This Row],[casual]]+BikeData[[#This Row],[registered]]=BikeData[[#This Row],[cnt]],"OK","Check")</f>
        <v>OK</v>
      </c>
      <c r="R448">
        <f>IF(BikeData[[#This Row],[yr]]=0,2011,2012)</f>
        <v>2012</v>
      </c>
      <c r="S448" t="str">
        <f>CHOOSE(BikeData[[#This Row],[season]],"Winter","Spring","Summer","Fall")</f>
        <v>Spring</v>
      </c>
      <c r="T448" t="str">
        <f>TEXT(DATE(2000,BikeData[[#This Row],[mnth]],1),"mmmm")</f>
        <v>March</v>
      </c>
      <c r="U448" t="str">
        <f>IF(BikeData[[#This Row],[workingday]]=1,"Working Day","Non-working Day")</f>
        <v>Working Day</v>
      </c>
      <c r="V448" t="str">
        <f>CHOOSE(BikeData[[#This Row],[weekday]]+1,"Sunday","Monday","Tuesday","Wednesday","Thursday","Friday","Saturday")</f>
        <v>Thursday</v>
      </c>
      <c r="W448" t="str">
        <f>CHOOSE(BikeData[[#This Row],[weathersit]],"Clear / Few Clouds","Mist / Cloudy","Light Rain / Snow","Heavy Rain / Snow")</f>
        <v>Clear / Few Clouds</v>
      </c>
    </row>
    <row r="449" spans="1:23" x14ac:dyDescent="0.3">
      <c r="A449">
        <v>448</v>
      </c>
      <c r="B449" s="1">
        <v>40991</v>
      </c>
      <c r="C449">
        <v>2</v>
      </c>
      <c r="D449">
        <v>1</v>
      </c>
      <c r="E449">
        <v>3</v>
      </c>
      <c r="F449">
        <v>0</v>
      </c>
      <c r="G449">
        <v>5</v>
      </c>
      <c r="H449">
        <v>1</v>
      </c>
      <c r="I449">
        <v>2</v>
      </c>
      <c r="J449">
        <v>0.60166699999999995</v>
      </c>
      <c r="K449">
        <v>0.57006699999999999</v>
      </c>
      <c r="L449">
        <v>0.69416699999999998</v>
      </c>
      <c r="M449">
        <v>0.1163</v>
      </c>
      <c r="N449">
        <v>2469</v>
      </c>
      <c r="O449">
        <v>5893</v>
      </c>
      <c r="P449">
        <v>8362</v>
      </c>
      <c r="Q449" t="str">
        <f>IF(BikeData[[#This Row],[casual]]+BikeData[[#This Row],[registered]]=BikeData[[#This Row],[cnt]],"OK","Check")</f>
        <v>OK</v>
      </c>
      <c r="R449">
        <f>IF(BikeData[[#This Row],[yr]]=0,2011,2012)</f>
        <v>2012</v>
      </c>
      <c r="S449" t="str">
        <f>CHOOSE(BikeData[[#This Row],[season]],"Winter","Spring","Summer","Fall")</f>
        <v>Spring</v>
      </c>
      <c r="T449" t="str">
        <f>TEXT(DATE(2000,BikeData[[#This Row],[mnth]],1),"mmmm")</f>
        <v>March</v>
      </c>
      <c r="U449" t="str">
        <f>IF(BikeData[[#This Row],[workingday]]=1,"Working Day","Non-working Day")</f>
        <v>Working Day</v>
      </c>
      <c r="V449" t="str">
        <f>CHOOSE(BikeData[[#This Row],[weekday]]+1,"Sunday","Monday","Tuesday","Wednesday","Thursday","Friday","Saturday")</f>
        <v>Friday</v>
      </c>
      <c r="W449" t="str">
        <f>CHOOSE(BikeData[[#This Row],[weathersit]],"Clear / Few Clouds","Mist / Cloudy","Light Rain / Snow","Heavy Rain / Snow")</f>
        <v>Mist / Cloudy</v>
      </c>
    </row>
    <row r="450" spans="1:23" x14ac:dyDescent="0.3">
      <c r="A450">
        <v>449</v>
      </c>
      <c r="B450" s="1">
        <v>40992</v>
      </c>
      <c r="C450">
        <v>2</v>
      </c>
      <c r="D450">
        <v>1</v>
      </c>
      <c r="E450">
        <v>3</v>
      </c>
      <c r="F450">
        <v>0</v>
      </c>
      <c r="G450">
        <v>6</v>
      </c>
      <c r="H450">
        <v>0</v>
      </c>
      <c r="I450">
        <v>2</v>
      </c>
      <c r="J450">
        <v>0.50249999999999995</v>
      </c>
      <c r="K450">
        <v>0.48673300000000003</v>
      </c>
      <c r="L450">
        <v>0.88541700000000001</v>
      </c>
      <c r="M450">
        <v>0.19278300000000001</v>
      </c>
      <c r="N450">
        <v>1033</v>
      </c>
      <c r="O450">
        <v>2339</v>
      </c>
      <c r="P450">
        <v>3372</v>
      </c>
      <c r="Q450" t="str">
        <f>IF(BikeData[[#This Row],[casual]]+BikeData[[#This Row],[registered]]=BikeData[[#This Row],[cnt]],"OK","Check")</f>
        <v>OK</v>
      </c>
      <c r="R450">
        <f>IF(BikeData[[#This Row],[yr]]=0,2011,2012)</f>
        <v>2012</v>
      </c>
      <c r="S450" t="str">
        <f>CHOOSE(BikeData[[#This Row],[season]],"Winter","Spring","Summer","Fall")</f>
        <v>Spring</v>
      </c>
      <c r="T450" t="str">
        <f>TEXT(DATE(2000,BikeData[[#This Row],[mnth]],1),"mmmm")</f>
        <v>March</v>
      </c>
      <c r="U450" t="str">
        <f>IF(BikeData[[#This Row],[workingday]]=1,"Working Day","Non-working Day")</f>
        <v>Non-working Day</v>
      </c>
      <c r="V450" t="str">
        <f>CHOOSE(BikeData[[#This Row],[weekday]]+1,"Sunday","Monday","Tuesday","Wednesday","Thursday","Friday","Saturday")</f>
        <v>Saturday</v>
      </c>
      <c r="W450" t="str">
        <f>CHOOSE(BikeData[[#This Row],[weathersit]],"Clear / Few Clouds","Mist / Cloudy","Light Rain / Snow","Heavy Rain / Snow")</f>
        <v>Mist / Cloudy</v>
      </c>
    </row>
    <row r="451" spans="1:23" x14ac:dyDescent="0.3">
      <c r="A451">
        <v>450</v>
      </c>
      <c r="B451" s="1">
        <v>40993</v>
      </c>
      <c r="C451">
        <v>2</v>
      </c>
      <c r="D451">
        <v>1</v>
      </c>
      <c r="E451">
        <v>3</v>
      </c>
      <c r="F451">
        <v>0</v>
      </c>
      <c r="G451">
        <v>0</v>
      </c>
      <c r="H451">
        <v>0</v>
      </c>
      <c r="I451">
        <v>2</v>
      </c>
      <c r="J451">
        <v>0.4375</v>
      </c>
      <c r="K451">
        <v>0.43748799999999999</v>
      </c>
      <c r="L451">
        <v>0.88083299999999998</v>
      </c>
      <c r="M451">
        <v>0.220775</v>
      </c>
      <c r="N451">
        <v>1532</v>
      </c>
      <c r="O451">
        <v>3464</v>
      </c>
      <c r="P451">
        <v>4996</v>
      </c>
      <c r="Q451" t="str">
        <f>IF(BikeData[[#This Row],[casual]]+BikeData[[#This Row],[registered]]=BikeData[[#This Row],[cnt]],"OK","Check")</f>
        <v>OK</v>
      </c>
      <c r="R451">
        <f>IF(BikeData[[#This Row],[yr]]=0,2011,2012)</f>
        <v>2012</v>
      </c>
      <c r="S451" t="str">
        <f>CHOOSE(BikeData[[#This Row],[season]],"Winter","Spring","Summer","Fall")</f>
        <v>Spring</v>
      </c>
      <c r="T451" t="str">
        <f>TEXT(DATE(2000,BikeData[[#This Row],[mnth]],1),"mmmm")</f>
        <v>March</v>
      </c>
      <c r="U451" t="str">
        <f>IF(BikeData[[#This Row],[workingday]]=1,"Working Day","Non-working Day")</f>
        <v>Non-working Day</v>
      </c>
      <c r="V451" t="str">
        <f>CHOOSE(BikeData[[#This Row],[weekday]]+1,"Sunday","Monday","Tuesday","Wednesday","Thursday","Friday","Saturday")</f>
        <v>Sunday</v>
      </c>
      <c r="W451" t="str">
        <f>CHOOSE(BikeData[[#This Row],[weathersit]],"Clear / Few Clouds","Mist / Cloudy","Light Rain / Snow","Heavy Rain / Snow")</f>
        <v>Mist / Cloudy</v>
      </c>
    </row>
    <row r="452" spans="1:23" x14ac:dyDescent="0.3">
      <c r="A452">
        <v>451</v>
      </c>
      <c r="B452" s="1">
        <v>40994</v>
      </c>
      <c r="C452">
        <v>2</v>
      </c>
      <c r="D452">
        <v>1</v>
      </c>
      <c r="E452">
        <v>3</v>
      </c>
      <c r="F452">
        <v>0</v>
      </c>
      <c r="G452">
        <v>1</v>
      </c>
      <c r="H452">
        <v>1</v>
      </c>
      <c r="I452">
        <v>1</v>
      </c>
      <c r="J452">
        <v>0.44583299999999998</v>
      </c>
      <c r="K452">
        <v>0.43874999999999997</v>
      </c>
      <c r="L452">
        <v>0.47791699999999998</v>
      </c>
      <c r="M452">
        <v>0.38682100000000003</v>
      </c>
      <c r="N452">
        <v>795</v>
      </c>
      <c r="O452">
        <v>4763</v>
      </c>
      <c r="P452">
        <v>5558</v>
      </c>
      <c r="Q452" t="str">
        <f>IF(BikeData[[#This Row],[casual]]+BikeData[[#This Row],[registered]]=BikeData[[#This Row],[cnt]],"OK","Check")</f>
        <v>OK</v>
      </c>
      <c r="R452">
        <f>IF(BikeData[[#This Row],[yr]]=0,2011,2012)</f>
        <v>2012</v>
      </c>
      <c r="S452" t="str">
        <f>CHOOSE(BikeData[[#This Row],[season]],"Winter","Spring","Summer","Fall")</f>
        <v>Spring</v>
      </c>
      <c r="T452" t="str">
        <f>TEXT(DATE(2000,BikeData[[#This Row],[mnth]],1),"mmmm")</f>
        <v>March</v>
      </c>
      <c r="U452" t="str">
        <f>IF(BikeData[[#This Row],[workingday]]=1,"Working Day","Non-working Day")</f>
        <v>Working Day</v>
      </c>
      <c r="V452" t="str">
        <f>CHOOSE(BikeData[[#This Row],[weekday]]+1,"Sunday","Monday","Tuesday","Wednesday","Thursday","Friday","Saturday")</f>
        <v>Monday</v>
      </c>
      <c r="W452" t="str">
        <f>CHOOSE(BikeData[[#This Row],[weathersit]],"Clear / Few Clouds","Mist / Cloudy","Light Rain / Snow","Heavy Rain / Snow")</f>
        <v>Clear / Few Clouds</v>
      </c>
    </row>
    <row r="453" spans="1:23" x14ac:dyDescent="0.3">
      <c r="A453">
        <v>452</v>
      </c>
      <c r="B453" s="1">
        <v>40995</v>
      </c>
      <c r="C453">
        <v>2</v>
      </c>
      <c r="D453">
        <v>1</v>
      </c>
      <c r="E453">
        <v>3</v>
      </c>
      <c r="F453">
        <v>0</v>
      </c>
      <c r="G453">
        <v>2</v>
      </c>
      <c r="H453">
        <v>1</v>
      </c>
      <c r="I453">
        <v>1</v>
      </c>
      <c r="J453">
        <v>0.32333299999999998</v>
      </c>
      <c r="K453">
        <v>0.31565399999999999</v>
      </c>
      <c r="L453">
        <v>0.28999999999999998</v>
      </c>
      <c r="M453">
        <v>0.187192</v>
      </c>
      <c r="N453">
        <v>531</v>
      </c>
      <c r="O453">
        <v>4571</v>
      </c>
      <c r="P453">
        <v>5102</v>
      </c>
      <c r="Q453" t="str">
        <f>IF(BikeData[[#This Row],[casual]]+BikeData[[#This Row],[registered]]=BikeData[[#This Row],[cnt]],"OK","Check")</f>
        <v>OK</v>
      </c>
      <c r="R453">
        <f>IF(BikeData[[#This Row],[yr]]=0,2011,2012)</f>
        <v>2012</v>
      </c>
      <c r="S453" t="str">
        <f>CHOOSE(BikeData[[#This Row],[season]],"Winter","Spring","Summer","Fall")</f>
        <v>Spring</v>
      </c>
      <c r="T453" t="str">
        <f>TEXT(DATE(2000,BikeData[[#This Row],[mnth]],1),"mmmm")</f>
        <v>March</v>
      </c>
      <c r="U453" t="str">
        <f>IF(BikeData[[#This Row],[workingday]]=1,"Working Day","Non-working Day")</f>
        <v>Working Day</v>
      </c>
      <c r="V453" t="str">
        <f>CHOOSE(BikeData[[#This Row],[weekday]]+1,"Sunday","Monday","Tuesday","Wednesday","Thursday","Friday","Saturday")</f>
        <v>Tuesday</v>
      </c>
      <c r="W453" t="str">
        <f>CHOOSE(BikeData[[#This Row],[weathersit]],"Clear / Few Clouds","Mist / Cloudy","Light Rain / Snow","Heavy Rain / Snow")</f>
        <v>Clear / Few Clouds</v>
      </c>
    </row>
    <row r="454" spans="1:23" x14ac:dyDescent="0.3">
      <c r="A454">
        <v>453</v>
      </c>
      <c r="B454" s="1">
        <v>40996</v>
      </c>
      <c r="C454">
        <v>2</v>
      </c>
      <c r="D454">
        <v>1</v>
      </c>
      <c r="E454">
        <v>3</v>
      </c>
      <c r="F454">
        <v>0</v>
      </c>
      <c r="G454">
        <v>3</v>
      </c>
      <c r="H454">
        <v>1</v>
      </c>
      <c r="I454">
        <v>1</v>
      </c>
      <c r="J454">
        <v>0.48416700000000001</v>
      </c>
      <c r="K454">
        <v>0.47094999999999998</v>
      </c>
      <c r="L454">
        <v>0.48125000000000001</v>
      </c>
      <c r="M454">
        <v>0.29167100000000001</v>
      </c>
      <c r="N454">
        <v>674</v>
      </c>
      <c r="O454">
        <v>5024</v>
      </c>
      <c r="P454">
        <v>5698</v>
      </c>
      <c r="Q454" t="str">
        <f>IF(BikeData[[#This Row],[casual]]+BikeData[[#This Row],[registered]]=BikeData[[#This Row],[cnt]],"OK","Check")</f>
        <v>OK</v>
      </c>
      <c r="R454">
        <f>IF(BikeData[[#This Row],[yr]]=0,2011,2012)</f>
        <v>2012</v>
      </c>
      <c r="S454" t="str">
        <f>CHOOSE(BikeData[[#This Row],[season]],"Winter","Spring","Summer","Fall")</f>
        <v>Spring</v>
      </c>
      <c r="T454" t="str">
        <f>TEXT(DATE(2000,BikeData[[#This Row],[mnth]],1),"mmmm")</f>
        <v>March</v>
      </c>
      <c r="U454" t="str">
        <f>IF(BikeData[[#This Row],[workingday]]=1,"Working Day","Non-working Day")</f>
        <v>Working Day</v>
      </c>
      <c r="V454" t="str">
        <f>CHOOSE(BikeData[[#This Row],[weekday]]+1,"Sunday","Monday","Tuesday","Wednesday","Thursday","Friday","Saturday")</f>
        <v>Wednesday</v>
      </c>
      <c r="W454" t="str">
        <f>CHOOSE(BikeData[[#This Row],[weathersit]],"Clear / Few Clouds","Mist / Cloudy","Light Rain / Snow","Heavy Rain / Snow")</f>
        <v>Clear / Few Clouds</v>
      </c>
    </row>
    <row r="455" spans="1:23" x14ac:dyDescent="0.3">
      <c r="A455">
        <v>454</v>
      </c>
      <c r="B455" s="1">
        <v>40997</v>
      </c>
      <c r="C455">
        <v>2</v>
      </c>
      <c r="D455">
        <v>1</v>
      </c>
      <c r="E455">
        <v>3</v>
      </c>
      <c r="F455">
        <v>0</v>
      </c>
      <c r="G455">
        <v>4</v>
      </c>
      <c r="H455">
        <v>1</v>
      </c>
      <c r="I455">
        <v>1</v>
      </c>
      <c r="J455">
        <v>0.49416700000000002</v>
      </c>
      <c r="K455">
        <v>0.48230400000000001</v>
      </c>
      <c r="L455">
        <v>0.43916699999999997</v>
      </c>
      <c r="M455">
        <v>0.31964999999999999</v>
      </c>
      <c r="N455">
        <v>834</v>
      </c>
      <c r="O455">
        <v>5299</v>
      </c>
      <c r="P455">
        <v>6133</v>
      </c>
      <c r="Q455" t="str">
        <f>IF(BikeData[[#This Row],[casual]]+BikeData[[#This Row],[registered]]=BikeData[[#This Row],[cnt]],"OK","Check")</f>
        <v>OK</v>
      </c>
      <c r="R455">
        <f>IF(BikeData[[#This Row],[yr]]=0,2011,2012)</f>
        <v>2012</v>
      </c>
      <c r="S455" t="str">
        <f>CHOOSE(BikeData[[#This Row],[season]],"Winter","Spring","Summer","Fall")</f>
        <v>Spring</v>
      </c>
      <c r="T455" t="str">
        <f>TEXT(DATE(2000,BikeData[[#This Row],[mnth]],1),"mmmm")</f>
        <v>March</v>
      </c>
      <c r="U455" t="str">
        <f>IF(BikeData[[#This Row],[workingday]]=1,"Working Day","Non-working Day")</f>
        <v>Working Day</v>
      </c>
      <c r="V455" t="str">
        <f>CHOOSE(BikeData[[#This Row],[weekday]]+1,"Sunday","Monday","Tuesday","Wednesday","Thursday","Friday","Saturday")</f>
        <v>Thursday</v>
      </c>
      <c r="W455" t="str">
        <f>CHOOSE(BikeData[[#This Row],[weathersit]],"Clear / Few Clouds","Mist / Cloudy","Light Rain / Snow","Heavy Rain / Snow")</f>
        <v>Clear / Few Clouds</v>
      </c>
    </row>
    <row r="456" spans="1:23" x14ac:dyDescent="0.3">
      <c r="A456">
        <v>455</v>
      </c>
      <c r="B456" s="1">
        <v>40998</v>
      </c>
      <c r="C456">
        <v>2</v>
      </c>
      <c r="D456">
        <v>1</v>
      </c>
      <c r="E456">
        <v>3</v>
      </c>
      <c r="F456">
        <v>0</v>
      </c>
      <c r="G456">
        <v>5</v>
      </c>
      <c r="H456">
        <v>1</v>
      </c>
      <c r="I456">
        <v>2</v>
      </c>
      <c r="J456">
        <v>0.37</v>
      </c>
      <c r="K456">
        <v>0.37562099999999998</v>
      </c>
      <c r="L456">
        <v>0.58083300000000004</v>
      </c>
      <c r="M456">
        <v>0.138067</v>
      </c>
      <c r="N456">
        <v>796</v>
      </c>
      <c r="O456">
        <v>4663</v>
      </c>
      <c r="P456">
        <v>5459</v>
      </c>
      <c r="Q456" t="str">
        <f>IF(BikeData[[#This Row],[casual]]+BikeData[[#This Row],[registered]]=BikeData[[#This Row],[cnt]],"OK","Check")</f>
        <v>OK</v>
      </c>
      <c r="R456">
        <f>IF(BikeData[[#This Row],[yr]]=0,2011,2012)</f>
        <v>2012</v>
      </c>
      <c r="S456" t="str">
        <f>CHOOSE(BikeData[[#This Row],[season]],"Winter","Spring","Summer","Fall")</f>
        <v>Spring</v>
      </c>
      <c r="T456" t="str">
        <f>TEXT(DATE(2000,BikeData[[#This Row],[mnth]],1),"mmmm")</f>
        <v>March</v>
      </c>
      <c r="U456" t="str">
        <f>IF(BikeData[[#This Row],[workingday]]=1,"Working Day","Non-working Day")</f>
        <v>Working Day</v>
      </c>
      <c r="V456" t="str">
        <f>CHOOSE(BikeData[[#This Row],[weekday]]+1,"Sunday","Monday","Tuesday","Wednesday","Thursday","Friday","Saturday")</f>
        <v>Friday</v>
      </c>
      <c r="W456" t="str">
        <f>CHOOSE(BikeData[[#This Row],[weathersit]],"Clear / Few Clouds","Mist / Cloudy","Light Rain / Snow","Heavy Rain / Snow")</f>
        <v>Mist / Cloudy</v>
      </c>
    </row>
    <row r="457" spans="1:23" x14ac:dyDescent="0.3">
      <c r="A457">
        <v>456</v>
      </c>
      <c r="B457" s="1">
        <v>40999</v>
      </c>
      <c r="C457">
        <v>2</v>
      </c>
      <c r="D457">
        <v>1</v>
      </c>
      <c r="E457">
        <v>3</v>
      </c>
      <c r="F457">
        <v>0</v>
      </c>
      <c r="G457">
        <v>6</v>
      </c>
      <c r="H457">
        <v>0</v>
      </c>
      <c r="I457">
        <v>2</v>
      </c>
      <c r="J457">
        <v>0.42416700000000002</v>
      </c>
      <c r="K457">
        <v>0.42170800000000003</v>
      </c>
      <c r="L457">
        <v>0.73833300000000002</v>
      </c>
      <c r="M457">
        <v>0.25061699999999998</v>
      </c>
      <c r="N457">
        <v>2301</v>
      </c>
      <c r="O457">
        <v>3934</v>
      </c>
      <c r="P457">
        <v>6235</v>
      </c>
      <c r="Q457" t="str">
        <f>IF(BikeData[[#This Row],[casual]]+BikeData[[#This Row],[registered]]=BikeData[[#This Row],[cnt]],"OK","Check")</f>
        <v>OK</v>
      </c>
      <c r="R457">
        <f>IF(BikeData[[#This Row],[yr]]=0,2011,2012)</f>
        <v>2012</v>
      </c>
      <c r="S457" t="str">
        <f>CHOOSE(BikeData[[#This Row],[season]],"Winter","Spring","Summer","Fall")</f>
        <v>Spring</v>
      </c>
      <c r="T457" t="str">
        <f>TEXT(DATE(2000,BikeData[[#This Row],[mnth]],1),"mmmm")</f>
        <v>March</v>
      </c>
      <c r="U457" t="str">
        <f>IF(BikeData[[#This Row],[workingday]]=1,"Working Day","Non-working Day")</f>
        <v>Non-working Day</v>
      </c>
      <c r="V457" t="str">
        <f>CHOOSE(BikeData[[#This Row],[weekday]]+1,"Sunday","Monday","Tuesday","Wednesday","Thursday","Friday","Saturday")</f>
        <v>Saturday</v>
      </c>
      <c r="W457" t="str">
        <f>CHOOSE(BikeData[[#This Row],[weathersit]],"Clear / Few Clouds","Mist / Cloudy","Light Rain / Snow","Heavy Rain / Snow")</f>
        <v>Mist / Cloudy</v>
      </c>
    </row>
    <row r="458" spans="1:23" x14ac:dyDescent="0.3">
      <c r="A458">
        <v>457</v>
      </c>
      <c r="B458" s="1">
        <v>41000</v>
      </c>
      <c r="C458">
        <v>2</v>
      </c>
      <c r="D458">
        <v>1</v>
      </c>
      <c r="E458">
        <v>4</v>
      </c>
      <c r="F458">
        <v>0</v>
      </c>
      <c r="G458">
        <v>0</v>
      </c>
      <c r="H458">
        <v>0</v>
      </c>
      <c r="I458">
        <v>2</v>
      </c>
      <c r="J458">
        <v>0.42583300000000002</v>
      </c>
      <c r="K458">
        <v>0.41728700000000002</v>
      </c>
      <c r="L458">
        <v>0.67625000000000002</v>
      </c>
      <c r="M458">
        <v>0.172267</v>
      </c>
      <c r="N458">
        <v>2347</v>
      </c>
      <c r="O458">
        <v>3694</v>
      </c>
      <c r="P458">
        <v>6041</v>
      </c>
      <c r="Q458" t="str">
        <f>IF(BikeData[[#This Row],[casual]]+BikeData[[#This Row],[registered]]=BikeData[[#This Row],[cnt]],"OK","Check")</f>
        <v>OK</v>
      </c>
      <c r="R458">
        <f>IF(BikeData[[#This Row],[yr]]=0,2011,2012)</f>
        <v>2012</v>
      </c>
      <c r="S458" t="str">
        <f>CHOOSE(BikeData[[#This Row],[season]],"Winter","Spring","Summer","Fall")</f>
        <v>Spring</v>
      </c>
      <c r="T458" t="str">
        <f>TEXT(DATE(2000,BikeData[[#This Row],[mnth]],1),"mmmm")</f>
        <v>April</v>
      </c>
      <c r="U458" t="str">
        <f>IF(BikeData[[#This Row],[workingday]]=1,"Working Day","Non-working Day")</f>
        <v>Non-working Day</v>
      </c>
      <c r="V458" t="str">
        <f>CHOOSE(BikeData[[#This Row],[weekday]]+1,"Sunday","Monday","Tuesday","Wednesday","Thursday","Friday","Saturday")</f>
        <v>Sunday</v>
      </c>
      <c r="W458" t="str">
        <f>CHOOSE(BikeData[[#This Row],[weathersit]],"Clear / Few Clouds","Mist / Cloudy","Light Rain / Snow","Heavy Rain / Snow")</f>
        <v>Mist / Cloudy</v>
      </c>
    </row>
    <row r="459" spans="1:23" x14ac:dyDescent="0.3">
      <c r="A459">
        <v>458</v>
      </c>
      <c r="B459" s="1">
        <v>41001</v>
      </c>
      <c r="C459">
        <v>2</v>
      </c>
      <c r="D459">
        <v>1</v>
      </c>
      <c r="E459">
        <v>4</v>
      </c>
      <c r="F459">
        <v>0</v>
      </c>
      <c r="G459">
        <v>1</v>
      </c>
      <c r="H459">
        <v>1</v>
      </c>
      <c r="I459">
        <v>1</v>
      </c>
      <c r="J459">
        <v>0.43391299999999999</v>
      </c>
      <c r="K459">
        <v>0.42751299999999998</v>
      </c>
      <c r="L459">
        <v>0.50434800000000002</v>
      </c>
      <c r="M459">
        <v>0.312139</v>
      </c>
      <c r="N459">
        <v>1208</v>
      </c>
      <c r="O459">
        <v>4728</v>
      </c>
      <c r="P459">
        <v>5936</v>
      </c>
      <c r="Q459" t="str">
        <f>IF(BikeData[[#This Row],[casual]]+BikeData[[#This Row],[registered]]=BikeData[[#This Row],[cnt]],"OK","Check")</f>
        <v>OK</v>
      </c>
      <c r="R459">
        <f>IF(BikeData[[#This Row],[yr]]=0,2011,2012)</f>
        <v>2012</v>
      </c>
      <c r="S459" t="str">
        <f>CHOOSE(BikeData[[#This Row],[season]],"Winter","Spring","Summer","Fall")</f>
        <v>Spring</v>
      </c>
      <c r="T459" t="str">
        <f>TEXT(DATE(2000,BikeData[[#This Row],[mnth]],1),"mmmm")</f>
        <v>April</v>
      </c>
      <c r="U459" t="str">
        <f>IF(BikeData[[#This Row],[workingday]]=1,"Working Day","Non-working Day")</f>
        <v>Working Day</v>
      </c>
      <c r="V459" t="str">
        <f>CHOOSE(BikeData[[#This Row],[weekday]]+1,"Sunday","Monday","Tuesday","Wednesday","Thursday","Friday","Saturday")</f>
        <v>Monday</v>
      </c>
      <c r="W459" t="str">
        <f>CHOOSE(BikeData[[#This Row],[weathersit]],"Clear / Few Clouds","Mist / Cloudy","Light Rain / Snow","Heavy Rain / Snow")</f>
        <v>Clear / Few Clouds</v>
      </c>
    </row>
    <row r="460" spans="1:23" x14ac:dyDescent="0.3">
      <c r="A460">
        <v>459</v>
      </c>
      <c r="B460" s="1">
        <v>41002</v>
      </c>
      <c r="C460">
        <v>2</v>
      </c>
      <c r="D460">
        <v>1</v>
      </c>
      <c r="E460">
        <v>4</v>
      </c>
      <c r="F460">
        <v>0</v>
      </c>
      <c r="G460">
        <v>2</v>
      </c>
      <c r="H460">
        <v>1</v>
      </c>
      <c r="I460">
        <v>1</v>
      </c>
      <c r="J460">
        <v>0.466667</v>
      </c>
      <c r="K460">
        <v>0.46148299999999998</v>
      </c>
      <c r="L460">
        <v>0.39666699999999999</v>
      </c>
      <c r="M460">
        <v>0.100133</v>
      </c>
      <c r="N460">
        <v>1348</v>
      </c>
      <c r="O460">
        <v>5424</v>
      </c>
      <c r="P460">
        <v>6772</v>
      </c>
      <c r="Q460" t="str">
        <f>IF(BikeData[[#This Row],[casual]]+BikeData[[#This Row],[registered]]=BikeData[[#This Row],[cnt]],"OK","Check")</f>
        <v>OK</v>
      </c>
      <c r="R460">
        <f>IF(BikeData[[#This Row],[yr]]=0,2011,2012)</f>
        <v>2012</v>
      </c>
      <c r="S460" t="str">
        <f>CHOOSE(BikeData[[#This Row],[season]],"Winter","Spring","Summer","Fall")</f>
        <v>Spring</v>
      </c>
      <c r="T460" t="str">
        <f>TEXT(DATE(2000,BikeData[[#This Row],[mnth]],1),"mmmm")</f>
        <v>April</v>
      </c>
      <c r="U460" t="str">
        <f>IF(BikeData[[#This Row],[workingday]]=1,"Working Day","Non-working Day")</f>
        <v>Working Day</v>
      </c>
      <c r="V460" t="str">
        <f>CHOOSE(BikeData[[#This Row],[weekday]]+1,"Sunday","Monday","Tuesday","Wednesday","Thursday","Friday","Saturday")</f>
        <v>Tuesday</v>
      </c>
      <c r="W460" t="str">
        <f>CHOOSE(BikeData[[#This Row],[weathersit]],"Clear / Few Clouds","Mist / Cloudy","Light Rain / Snow","Heavy Rain / Snow")</f>
        <v>Clear / Few Clouds</v>
      </c>
    </row>
    <row r="461" spans="1:23" x14ac:dyDescent="0.3">
      <c r="A461">
        <v>460</v>
      </c>
      <c r="B461" s="1">
        <v>41003</v>
      </c>
      <c r="C461">
        <v>2</v>
      </c>
      <c r="D461">
        <v>1</v>
      </c>
      <c r="E461">
        <v>4</v>
      </c>
      <c r="F461">
        <v>0</v>
      </c>
      <c r="G461">
        <v>3</v>
      </c>
      <c r="H461">
        <v>1</v>
      </c>
      <c r="I461">
        <v>1</v>
      </c>
      <c r="J461">
        <v>0.54166700000000001</v>
      </c>
      <c r="K461">
        <v>0.53344999999999998</v>
      </c>
      <c r="L461">
        <v>0.46958299999999997</v>
      </c>
      <c r="M461">
        <v>0.180975</v>
      </c>
      <c r="N461">
        <v>1058</v>
      </c>
      <c r="O461">
        <v>5378</v>
      </c>
      <c r="P461">
        <v>6436</v>
      </c>
      <c r="Q461" t="str">
        <f>IF(BikeData[[#This Row],[casual]]+BikeData[[#This Row],[registered]]=BikeData[[#This Row],[cnt]],"OK","Check")</f>
        <v>OK</v>
      </c>
      <c r="R461">
        <f>IF(BikeData[[#This Row],[yr]]=0,2011,2012)</f>
        <v>2012</v>
      </c>
      <c r="S461" t="str">
        <f>CHOOSE(BikeData[[#This Row],[season]],"Winter","Spring","Summer","Fall")</f>
        <v>Spring</v>
      </c>
      <c r="T461" t="str">
        <f>TEXT(DATE(2000,BikeData[[#This Row],[mnth]],1),"mmmm")</f>
        <v>April</v>
      </c>
      <c r="U461" t="str">
        <f>IF(BikeData[[#This Row],[workingday]]=1,"Working Day","Non-working Day")</f>
        <v>Working Day</v>
      </c>
      <c r="V461" t="str">
        <f>CHOOSE(BikeData[[#This Row],[weekday]]+1,"Sunday","Monday","Tuesday","Wednesday","Thursday","Friday","Saturday")</f>
        <v>Wednesday</v>
      </c>
      <c r="W461" t="str">
        <f>CHOOSE(BikeData[[#This Row],[weathersit]],"Clear / Few Clouds","Mist / Cloudy","Light Rain / Snow","Heavy Rain / Snow")</f>
        <v>Clear / Few Clouds</v>
      </c>
    </row>
    <row r="462" spans="1:23" x14ac:dyDescent="0.3">
      <c r="A462">
        <v>461</v>
      </c>
      <c r="B462" s="1">
        <v>41004</v>
      </c>
      <c r="C462">
        <v>2</v>
      </c>
      <c r="D462">
        <v>1</v>
      </c>
      <c r="E462">
        <v>4</v>
      </c>
      <c r="F462">
        <v>0</v>
      </c>
      <c r="G462">
        <v>4</v>
      </c>
      <c r="H462">
        <v>1</v>
      </c>
      <c r="I462">
        <v>1</v>
      </c>
      <c r="J462">
        <v>0.435</v>
      </c>
      <c r="K462">
        <v>0.43116300000000002</v>
      </c>
      <c r="L462">
        <v>0.37416700000000003</v>
      </c>
      <c r="M462">
        <v>0.219529</v>
      </c>
      <c r="N462">
        <v>1192</v>
      </c>
      <c r="O462">
        <v>5265</v>
      </c>
      <c r="P462">
        <v>6457</v>
      </c>
      <c r="Q462" t="str">
        <f>IF(BikeData[[#This Row],[casual]]+BikeData[[#This Row],[registered]]=BikeData[[#This Row],[cnt]],"OK","Check")</f>
        <v>OK</v>
      </c>
      <c r="R462">
        <f>IF(BikeData[[#This Row],[yr]]=0,2011,2012)</f>
        <v>2012</v>
      </c>
      <c r="S462" t="str">
        <f>CHOOSE(BikeData[[#This Row],[season]],"Winter","Spring","Summer","Fall")</f>
        <v>Spring</v>
      </c>
      <c r="T462" t="str">
        <f>TEXT(DATE(2000,BikeData[[#This Row],[mnth]],1),"mmmm")</f>
        <v>April</v>
      </c>
      <c r="U462" t="str">
        <f>IF(BikeData[[#This Row],[workingday]]=1,"Working Day","Non-working Day")</f>
        <v>Working Day</v>
      </c>
      <c r="V462" t="str">
        <f>CHOOSE(BikeData[[#This Row],[weekday]]+1,"Sunday","Monday","Tuesday","Wednesday","Thursday","Friday","Saturday")</f>
        <v>Thursday</v>
      </c>
      <c r="W462" t="str">
        <f>CHOOSE(BikeData[[#This Row],[weathersit]],"Clear / Few Clouds","Mist / Cloudy","Light Rain / Snow","Heavy Rain / Snow")</f>
        <v>Clear / Few Clouds</v>
      </c>
    </row>
    <row r="463" spans="1:23" x14ac:dyDescent="0.3">
      <c r="A463">
        <v>462</v>
      </c>
      <c r="B463" s="1">
        <v>41005</v>
      </c>
      <c r="C463">
        <v>2</v>
      </c>
      <c r="D463">
        <v>1</v>
      </c>
      <c r="E463">
        <v>4</v>
      </c>
      <c r="F463">
        <v>0</v>
      </c>
      <c r="G463">
        <v>5</v>
      </c>
      <c r="H463">
        <v>1</v>
      </c>
      <c r="I463">
        <v>1</v>
      </c>
      <c r="J463">
        <v>0.403333</v>
      </c>
      <c r="K463">
        <v>0.39076699999999998</v>
      </c>
      <c r="L463">
        <v>0.377083</v>
      </c>
      <c r="M463">
        <v>0.30038799999999999</v>
      </c>
      <c r="N463">
        <v>1807</v>
      </c>
      <c r="O463">
        <v>4653</v>
      </c>
      <c r="P463">
        <v>6460</v>
      </c>
      <c r="Q463" t="str">
        <f>IF(BikeData[[#This Row],[casual]]+BikeData[[#This Row],[registered]]=BikeData[[#This Row],[cnt]],"OK","Check")</f>
        <v>OK</v>
      </c>
      <c r="R463">
        <f>IF(BikeData[[#This Row],[yr]]=0,2011,2012)</f>
        <v>2012</v>
      </c>
      <c r="S463" t="str">
        <f>CHOOSE(BikeData[[#This Row],[season]],"Winter","Spring","Summer","Fall")</f>
        <v>Spring</v>
      </c>
      <c r="T463" t="str">
        <f>TEXT(DATE(2000,BikeData[[#This Row],[mnth]],1),"mmmm")</f>
        <v>April</v>
      </c>
      <c r="U463" t="str">
        <f>IF(BikeData[[#This Row],[workingday]]=1,"Working Day","Non-working Day")</f>
        <v>Working Day</v>
      </c>
      <c r="V463" t="str">
        <f>CHOOSE(BikeData[[#This Row],[weekday]]+1,"Sunday","Monday","Tuesday","Wednesday","Thursday","Friday","Saturday")</f>
        <v>Friday</v>
      </c>
      <c r="W463" t="str">
        <f>CHOOSE(BikeData[[#This Row],[weathersit]],"Clear / Few Clouds","Mist / Cloudy","Light Rain / Snow","Heavy Rain / Snow")</f>
        <v>Clear / Few Clouds</v>
      </c>
    </row>
    <row r="464" spans="1:23" x14ac:dyDescent="0.3">
      <c r="A464">
        <v>463</v>
      </c>
      <c r="B464" s="1">
        <v>41006</v>
      </c>
      <c r="C464">
        <v>2</v>
      </c>
      <c r="D464">
        <v>1</v>
      </c>
      <c r="E464">
        <v>4</v>
      </c>
      <c r="F464">
        <v>0</v>
      </c>
      <c r="G464">
        <v>6</v>
      </c>
      <c r="H464">
        <v>0</v>
      </c>
      <c r="I464">
        <v>1</v>
      </c>
      <c r="J464">
        <v>0.4375</v>
      </c>
      <c r="K464">
        <v>0.42612899999999998</v>
      </c>
      <c r="L464">
        <v>0.25416699999999998</v>
      </c>
      <c r="M464">
        <v>0.27487099999999998</v>
      </c>
      <c r="N464">
        <v>3252</v>
      </c>
      <c r="O464">
        <v>3605</v>
      </c>
      <c r="P464">
        <v>6857</v>
      </c>
      <c r="Q464" t="str">
        <f>IF(BikeData[[#This Row],[casual]]+BikeData[[#This Row],[registered]]=BikeData[[#This Row],[cnt]],"OK","Check")</f>
        <v>OK</v>
      </c>
      <c r="R464">
        <f>IF(BikeData[[#This Row],[yr]]=0,2011,2012)</f>
        <v>2012</v>
      </c>
      <c r="S464" t="str">
        <f>CHOOSE(BikeData[[#This Row],[season]],"Winter","Spring","Summer","Fall")</f>
        <v>Spring</v>
      </c>
      <c r="T464" t="str">
        <f>TEXT(DATE(2000,BikeData[[#This Row],[mnth]],1),"mmmm")</f>
        <v>April</v>
      </c>
      <c r="U464" t="str">
        <f>IF(BikeData[[#This Row],[workingday]]=1,"Working Day","Non-working Day")</f>
        <v>Non-working Day</v>
      </c>
      <c r="V464" t="str">
        <f>CHOOSE(BikeData[[#This Row],[weekday]]+1,"Sunday","Monday","Tuesday","Wednesday","Thursday","Friday","Saturday")</f>
        <v>Saturday</v>
      </c>
      <c r="W464" t="str">
        <f>CHOOSE(BikeData[[#This Row],[weathersit]],"Clear / Few Clouds","Mist / Cloudy","Light Rain / Snow","Heavy Rain / Snow")</f>
        <v>Clear / Few Clouds</v>
      </c>
    </row>
    <row r="465" spans="1:23" x14ac:dyDescent="0.3">
      <c r="A465">
        <v>464</v>
      </c>
      <c r="B465" s="1">
        <v>41007</v>
      </c>
      <c r="C465">
        <v>2</v>
      </c>
      <c r="D465">
        <v>1</v>
      </c>
      <c r="E465">
        <v>4</v>
      </c>
      <c r="F465">
        <v>0</v>
      </c>
      <c r="G465">
        <v>0</v>
      </c>
      <c r="H465">
        <v>0</v>
      </c>
      <c r="I465">
        <v>1</v>
      </c>
      <c r="J465">
        <v>0.5</v>
      </c>
      <c r="K465">
        <v>0.492425</v>
      </c>
      <c r="L465">
        <v>0.27583299999999999</v>
      </c>
      <c r="M465">
        <v>0.232596</v>
      </c>
      <c r="N465">
        <v>2230</v>
      </c>
      <c r="O465">
        <v>2939</v>
      </c>
      <c r="P465">
        <v>5169</v>
      </c>
      <c r="Q465" t="str">
        <f>IF(BikeData[[#This Row],[casual]]+BikeData[[#This Row],[registered]]=BikeData[[#This Row],[cnt]],"OK","Check")</f>
        <v>OK</v>
      </c>
      <c r="R465">
        <f>IF(BikeData[[#This Row],[yr]]=0,2011,2012)</f>
        <v>2012</v>
      </c>
      <c r="S465" t="str">
        <f>CHOOSE(BikeData[[#This Row],[season]],"Winter","Spring","Summer","Fall")</f>
        <v>Spring</v>
      </c>
      <c r="T465" t="str">
        <f>TEXT(DATE(2000,BikeData[[#This Row],[mnth]],1),"mmmm")</f>
        <v>April</v>
      </c>
      <c r="U465" t="str">
        <f>IF(BikeData[[#This Row],[workingday]]=1,"Working Day","Non-working Day")</f>
        <v>Non-working Day</v>
      </c>
      <c r="V465" t="str">
        <f>CHOOSE(BikeData[[#This Row],[weekday]]+1,"Sunday","Monday","Tuesday","Wednesday","Thursday","Friday","Saturday")</f>
        <v>Sunday</v>
      </c>
      <c r="W465" t="str">
        <f>CHOOSE(BikeData[[#This Row],[weathersit]],"Clear / Few Clouds","Mist / Cloudy","Light Rain / Snow","Heavy Rain / Snow")</f>
        <v>Clear / Few Clouds</v>
      </c>
    </row>
    <row r="466" spans="1:23" x14ac:dyDescent="0.3">
      <c r="A466">
        <v>465</v>
      </c>
      <c r="B466" s="1">
        <v>41008</v>
      </c>
      <c r="C466">
        <v>2</v>
      </c>
      <c r="D466">
        <v>1</v>
      </c>
      <c r="E466">
        <v>4</v>
      </c>
      <c r="F466">
        <v>0</v>
      </c>
      <c r="G466">
        <v>1</v>
      </c>
      <c r="H466">
        <v>1</v>
      </c>
      <c r="I466">
        <v>1</v>
      </c>
      <c r="J466">
        <v>0.48916700000000002</v>
      </c>
      <c r="K466">
        <v>0.47663800000000001</v>
      </c>
      <c r="L466">
        <v>0.3175</v>
      </c>
      <c r="M466">
        <v>0.35819600000000001</v>
      </c>
      <c r="N466">
        <v>905</v>
      </c>
      <c r="O466">
        <v>4680</v>
      </c>
      <c r="P466">
        <v>5585</v>
      </c>
      <c r="Q466" t="str">
        <f>IF(BikeData[[#This Row],[casual]]+BikeData[[#This Row],[registered]]=BikeData[[#This Row],[cnt]],"OK","Check")</f>
        <v>OK</v>
      </c>
      <c r="R466">
        <f>IF(BikeData[[#This Row],[yr]]=0,2011,2012)</f>
        <v>2012</v>
      </c>
      <c r="S466" t="str">
        <f>CHOOSE(BikeData[[#This Row],[season]],"Winter","Spring","Summer","Fall")</f>
        <v>Spring</v>
      </c>
      <c r="T466" t="str">
        <f>TEXT(DATE(2000,BikeData[[#This Row],[mnth]],1),"mmmm")</f>
        <v>April</v>
      </c>
      <c r="U466" t="str">
        <f>IF(BikeData[[#This Row],[workingday]]=1,"Working Day","Non-working Day")</f>
        <v>Working Day</v>
      </c>
      <c r="V466" t="str">
        <f>CHOOSE(BikeData[[#This Row],[weekday]]+1,"Sunday","Monday","Tuesday","Wednesday","Thursday","Friday","Saturday")</f>
        <v>Monday</v>
      </c>
      <c r="W466" t="str">
        <f>CHOOSE(BikeData[[#This Row],[weathersit]],"Clear / Few Clouds","Mist / Cloudy","Light Rain / Snow","Heavy Rain / Snow")</f>
        <v>Clear / Few Clouds</v>
      </c>
    </row>
    <row r="467" spans="1:23" x14ac:dyDescent="0.3">
      <c r="A467">
        <v>466</v>
      </c>
      <c r="B467" s="1">
        <v>41009</v>
      </c>
      <c r="C467">
        <v>2</v>
      </c>
      <c r="D467">
        <v>1</v>
      </c>
      <c r="E467">
        <v>4</v>
      </c>
      <c r="F467">
        <v>0</v>
      </c>
      <c r="G467">
        <v>2</v>
      </c>
      <c r="H467">
        <v>1</v>
      </c>
      <c r="I467">
        <v>1</v>
      </c>
      <c r="J467">
        <v>0.44666699999999998</v>
      </c>
      <c r="K467">
        <v>0.43623299999999998</v>
      </c>
      <c r="L467">
        <v>0.435</v>
      </c>
      <c r="M467">
        <v>0.24937500000000001</v>
      </c>
      <c r="N467">
        <v>819</v>
      </c>
      <c r="O467">
        <v>5099</v>
      </c>
      <c r="P467">
        <v>5918</v>
      </c>
      <c r="Q467" t="str">
        <f>IF(BikeData[[#This Row],[casual]]+BikeData[[#This Row],[registered]]=BikeData[[#This Row],[cnt]],"OK","Check")</f>
        <v>OK</v>
      </c>
      <c r="R467">
        <f>IF(BikeData[[#This Row],[yr]]=0,2011,2012)</f>
        <v>2012</v>
      </c>
      <c r="S467" t="str">
        <f>CHOOSE(BikeData[[#This Row],[season]],"Winter","Spring","Summer","Fall")</f>
        <v>Spring</v>
      </c>
      <c r="T467" t="str">
        <f>TEXT(DATE(2000,BikeData[[#This Row],[mnth]],1),"mmmm")</f>
        <v>April</v>
      </c>
      <c r="U467" t="str">
        <f>IF(BikeData[[#This Row],[workingday]]=1,"Working Day","Non-working Day")</f>
        <v>Working Day</v>
      </c>
      <c r="V467" t="str">
        <f>CHOOSE(BikeData[[#This Row],[weekday]]+1,"Sunday","Monday","Tuesday","Wednesday","Thursday","Friday","Saturday")</f>
        <v>Tuesday</v>
      </c>
      <c r="W467" t="str">
        <f>CHOOSE(BikeData[[#This Row],[weathersit]],"Clear / Few Clouds","Mist / Cloudy","Light Rain / Snow","Heavy Rain / Snow")</f>
        <v>Clear / Few Clouds</v>
      </c>
    </row>
    <row r="468" spans="1:23" x14ac:dyDescent="0.3">
      <c r="A468">
        <v>467</v>
      </c>
      <c r="B468" s="1">
        <v>41010</v>
      </c>
      <c r="C468">
        <v>2</v>
      </c>
      <c r="D468">
        <v>1</v>
      </c>
      <c r="E468">
        <v>4</v>
      </c>
      <c r="F468">
        <v>0</v>
      </c>
      <c r="G468">
        <v>3</v>
      </c>
      <c r="H468">
        <v>1</v>
      </c>
      <c r="I468">
        <v>1</v>
      </c>
      <c r="J468">
        <v>0.34869600000000001</v>
      </c>
      <c r="K468">
        <v>0.33727400000000002</v>
      </c>
      <c r="L468">
        <v>0.46956500000000001</v>
      </c>
      <c r="M468">
        <v>0.29527399999999998</v>
      </c>
      <c r="N468">
        <v>482</v>
      </c>
      <c r="O468">
        <v>4380</v>
      </c>
      <c r="P468">
        <v>4862</v>
      </c>
      <c r="Q468" t="str">
        <f>IF(BikeData[[#This Row],[casual]]+BikeData[[#This Row],[registered]]=BikeData[[#This Row],[cnt]],"OK","Check")</f>
        <v>OK</v>
      </c>
      <c r="R468">
        <f>IF(BikeData[[#This Row],[yr]]=0,2011,2012)</f>
        <v>2012</v>
      </c>
      <c r="S468" t="str">
        <f>CHOOSE(BikeData[[#This Row],[season]],"Winter","Spring","Summer","Fall")</f>
        <v>Spring</v>
      </c>
      <c r="T468" t="str">
        <f>TEXT(DATE(2000,BikeData[[#This Row],[mnth]],1),"mmmm")</f>
        <v>April</v>
      </c>
      <c r="U468" t="str">
        <f>IF(BikeData[[#This Row],[workingday]]=1,"Working Day","Non-working Day")</f>
        <v>Working Day</v>
      </c>
      <c r="V468" t="str">
        <f>CHOOSE(BikeData[[#This Row],[weekday]]+1,"Sunday","Monday","Tuesday","Wednesday","Thursday","Friday","Saturday")</f>
        <v>Wednesday</v>
      </c>
      <c r="W468" t="str">
        <f>CHOOSE(BikeData[[#This Row],[weathersit]],"Clear / Few Clouds","Mist / Cloudy","Light Rain / Snow","Heavy Rain / Snow")</f>
        <v>Clear / Few Clouds</v>
      </c>
    </row>
    <row r="469" spans="1:23" x14ac:dyDescent="0.3">
      <c r="A469">
        <v>468</v>
      </c>
      <c r="B469" s="1">
        <v>41011</v>
      </c>
      <c r="C469">
        <v>2</v>
      </c>
      <c r="D469">
        <v>1</v>
      </c>
      <c r="E469">
        <v>4</v>
      </c>
      <c r="F469">
        <v>0</v>
      </c>
      <c r="G469">
        <v>4</v>
      </c>
      <c r="H469">
        <v>1</v>
      </c>
      <c r="I469">
        <v>1</v>
      </c>
      <c r="J469">
        <v>0.39750000000000002</v>
      </c>
      <c r="K469">
        <v>0.387604</v>
      </c>
      <c r="L469">
        <v>0.46625</v>
      </c>
      <c r="M469">
        <v>0.29042899999999999</v>
      </c>
      <c r="N469">
        <v>663</v>
      </c>
      <c r="O469">
        <v>4746</v>
      </c>
      <c r="P469">
        <v>5409</v>
      </c>
      <c r="Q469" t="str">
        <f>IF(BikeData[[#This Row],[casual]]+BikeData[[#This Row],[registered]]=BikeData[[#This Row],[cnt]],"OK","Check")</f>
        <v>OK</v>
      </c>
      <c r="R469">
        <f>IF(BikeData[[#This Row],[yr]]=0,2011,2012)</f>
        <v>2012</v>
      </c>
      <c r="S469" t="str">
        <f>CHOOSE(BikeData[[#This Row],[season]],"Winter","Spring","Summer","Fall")</f>
        <v>Spring</v>
      </c>
      <c r="T469" t="str">
        <f>TEXT(DATE(2000,BikeData[[#This Row],[mnth]],1),"mmmm")</f>
        <v>April</v>
      </c>
      <c r="U469" t="str">
        <f>IF(BikeData[[#This Row],[workingday]]=1,"Working Day","Non-working Day")</f>
        <v>Working Day</v>
      </c>
      <c r="V469" t="str">
        <f>CHOOSE(BikeData[[#This Row],[weekday]]+1,"Sunday","Monday","Tuesday","Wednesday","Thursday","Friday","Saturday")</f>
        <v>Thursday</v>
      </c>
      <c r="W469" t="str">
        <f>CHOOSE(BikeData[[#This Row],[weathersit]],"Clear / Few Clouds","Mist / Cloudy","Light Rain / Snow","Heavy Rain / Snow")</f>
        <v>Clear / Few Clouds</v>
      </c>
    </row>
    <row r="470" spans="1:23" x14ac:dyDescent="0.3">
      <c r="A470">
        <v>469</v>
      </c>
      <c r="B470" s="1">
        <v>41012</v>
      </c>
      <c r="C470">
        <v>2</v>
      </c>
      <c r="D470">
        <v>1</v>
      </c>
      <c r="E470">
        <v>4</v>
      </c>
      <c r="F470">
        <v>0</v>
      </c>
      <c r="G470">
        <v>5</v>
      </c>
      <c r="H470">
        <v>1</v>
      </c>
      <c r="I470">
        <v>1</v>
      </c>
      <c r="J470">
        <v>0.4425</v>
      </c>
      <c r="K470">
        <v>0.43180800000000003</v>
      </c>
      <c r="L470">
        <v>0.408333</v>
      </c>
      <c r="M470">
        <v>0.155471</v>
      </c>
      <c r="N470">
        <v>1252</v>
      </c>
      <c r="O470">
        <v>5146</v>
      </c>
      <c r="P470">
        <v>6398</v>
      </c>
      <c r="Q470" t="str">
        <f>IF(BikeData[[#This Row],[casual]]+BikeData[[#This Row],[registered]]=BikeData[[#This Row],[cnt]],"OK","Check")</f>
        <v>OK</v>
      </c>
      <c r="R470">
        <f>IF(BikeData[[#This Row],[yr]]=0,2011,2012)</f>
        <v>2012</v>
      </c>
      <c r="S470" t="str">
        <f>CHOOSE(BikeData[[#This Row],[season]],"Winter","Spring","Summer","Fall")</f>
        <v>Spring</v>
      </c>
      <c r="T470" t="str">
        <f>TEXT(DATE(2000,BikeData[[#This Row],[mnth]],1),"mmmm")</f>
        <v>April</v>
      </c>
      <c r="U470" t="str">
        <f>IF(BikeData[[#This Row],[workingday]]=1,"Working Day","Non-working Day")</f>
        <v>Working Day</v>
      </c>
      <c r="V470" t="str">
        <f>CHOOSE(BikeData[[#This Row],[weekday]]+1,"Sunday","Monday","Tuesday","Wednesday","Thursday","Friday","Saturday")</f>
        <v>Friday</v>
      </c>
      <c r="W470" t="str">
        <f>CHOOSE(BikeData[[#This Row],[weathersit]],"Clear / Few Clouds","Mist / Cloudy","Light Rain / Snow","Heavy Rain / Snow")</f>
        <v>Clear / Few Clouds</v>
      </c>
    </row>
    <row r="471" spans="1:23" x14ac:dyDescent="0.3">
      <c r="A471">
        <v>470</v>
      </c>
      <c r="B471" s="1">
        <v>41013</v>
      </c>
      <c r="C471">
        <v>2</v>
      </c>
      <c r="D471">
        <v>1</v>
      </c>
      <c r="E471">
        <v>4</v>
      </c>
      <c r="F471">
        <v>0</v>
      </c>
      <c r="G471">
        <v>6</v>
      </c>
      <c r="H471">
        <v>0</v>
      </c>
      <c r="I471">
        <v>1</v>
      </c>
      <c r="J471">
        <v>0.495</v>
      </c>
      <c r="K471">
        <v>0.48799599999999999</v>
      </c>
      <c r="L471">
        <v>0.50291699999999995</v>
      </c>
      <c r="M471">
        <v>0.190917</v>
      </c>
      <c r="N471">
        <v>2795</v>
      </c>
      <c r="O471">
        <v>4665</v>
      </c>
      <c r="P471">
        <v>7460</v>
      </c>
      <c r="Q471" t="str">
        <f>IF(BikeData[[#This Row],[casual]]+BikeData[[#This Row],[registered]]=BikeData[[#This Row],[cnt]],"OK","Check")</f>
        <v>OK</v>
      </c>
      <c r="R471">
        <f>IF(BikeData[[#This Row],[yr]]=0,2011,2012)</f>
        <v>2012</v>
      </c>
      <c r="S471" t="str">
        <f>CHOOSE(BikeData[[#This Row],[season]],"Winter","Spring","Summer","Fall")</f>
        <v>Spring</v>
      </c>
      <c r="T471" t="str">
        <f>TEXT(DATE(2000,BikeData[[#This Row],[mnth]],1),"mmmm")</f>
        <v>April</v>
      </c>
      <c r="U471" t="str">
        <f>IF(BikeData[[#This Row],[workingday]]=1,"Working Day","Non-working Day")</f>
        <v>Non-working Day</v>
      </c>
      <c r="V471" t="str">
        <f>CHOOSE(BikeData[[#This Row],[weekday]]+1,"Sunday","Monday","Tuesday","Wednesday","Thursday","Friday","Saturday")</f>
        <v>Saturday</v>
      </c>
      <c r="W471" t="str">
        <f>CHOOSE(BikeData[[#This Row],[weathersit]],"Clear / Few Clouds","Mist / Cloudy","Light Rain / Snow","Heavy Rain / Snow")</f>
        <v>Clear / Few Clouds</v>
      </c>
    </row>
    <row r="472" spans="1:23" x14ac:dyDescent="0.3">
      <c r="A472">
        <v>471</v>
      </c>
      <c r="B472" s="1">
        <v>41014</v>
      </c>
      <c r="C472">
        <v>2</v>
      </c>
      <c r="D472">
        <v>1</v>
      </c>
      <c r="E472">
        <v>4</v>
      </c>
      <c r="F472">
        <v>0</v>
      </c>
      <c r="G472">
        <v>0</v>
      </c>
      <c r="H472">
        <v>0</v>
      </c>
      <c r="I472">
        <v>1</v>
      </c>
      <c r="J472">
        <v>0.60666699999999996</v>
      </c>
      <c r="K472">
        <v>0.57387500000000002</v>
      </c>
      <c r="L472">
        <v>0.50791699999999995</v>
      </c>
      <c r="M472">
        <v>0.225129</v>
      </c>
      <c r="N472">
        <v>2846</v>
      </c>
      <c r="O472">
        <v>4286</v>
      </c>
      <c r="P472">
        <v>7132</v>
      </c>
      <c r="Q472" t="str">
        <f>IF(BikeData[[#This Row],[casual]]+BikeData[[#This Row],[registered]]=BikeData[[#This Row],[cnt]],"OK","Check")</f>
        <v>OK</v>
      </c>
      <c r="R472">
        <f>IF(BikeData[[#This Row],[yr]]=0,2011,2012)</f>
        <v>2012</v>
      </c>
      <c r="S472" t="str">
        <f>CHOOSE(BikeData[[#This Row],[season]],"Winter","Spring","Summer","Fall")</f>
        <v>Spring</v>
      </c>
      <c r="T472" t="str">
        <f>TEXT(DATE(2000,BikeData[[#This Row],[mnth]],1),"mmmm")</f>
        <v>April</v>
      </c>
      <c r="U472" t="str">
        <f>IF(BikeData[[#This Row],[workingday]]=1,"Working Day","Non-working Day")</f>
        <v>Non-working Day</v>
      </c>
      <c r="V472" t="str">
        <f>CHOOSE(BikeData[[#This Row],[weekday]]+1,"Sunday","Monday","Tuesday","Wednesday","Thursday","Friday","Saturday")</f>
        <v>Sunday</v>
      </c>
      <c r="W472" t="str">
        <f>CHOOSE(BikeData[[#This Row],[weathersit]],"Clear / Few Clouds","Mist / Cloudy","Light Rain / Snow","Heavy Rain / Snow")</f>
        <v>Clear / Few Clouds</v>
      </c>
    </row>
    <row r="473" spans="1:23" x14ac:dyDescent="0.3">
      <c r="A473">
        <v>472</v>
      </c>
      <c r="B473" s="1">
        <v>41015</v>
      </c>
      <c r="C473">
        <v>2</v>
      </c>
      <c r="D473">
        <v>1</v>
      </c>
      <c r="E473">
        <v>4</v>
      </c>
      <c r="F473">
        <v>1</v>
      </c>
      <c r="G473">
        <v>1</v>
      </c>
      <c r="H473">
        <v>0</v>
      </c>
      <c r="I473">
        <v>1</v>
      </c>
      <c r="J473">
        <v>0.66416699999999995</v>
      </c>
      <c r="K473">
        <v>0.61492500000000005</v>
      </c>
      <c r="L473">
        <v>0.56166700000000003</v>
      </c>
      <c r="M473">
        <v>0.284829</v>
      </c>
      <c r="N473">
        <v>1198</v>
      </c>
      <c r="O473">
        <v>5172</v>
      </c>
      <c r="P473">
        <v>6370</v>
      </c>
      <c r="Q473" t="str">
        <f>IF(BikeData[[#This Row],[casual]]+BikeData[[#This Row],[registered]]=BikeData[[#This Row],[cnt]],"OK","Check")</f>
        <v>OK</v>
      </c>
      <c r="R473">
        <f>IF(BikeData[[#This Row],[yr]]=0,2011,2012)</f>
        <v>2012</v>
      </c>
      <c r="S473" t="str">
        <f>CHOOSE(BikeData[[#This Row],[season]],"Winter","Spring","Summer","Fall")</f>
        <v>Spring</v>
      </c>
      <c r="T473" t="str">
        <f>TEXT(DATE(2000,BikeData[[#This Row],[mnth]],1),"mmmm")</f>
        <v>April</v>
      </c>
      <c r="U473" t="str">
        <f>IF(BikeData[[#This Row],[workingday]]=1,"Working Day","Non-working Day")</f>
        <v>Non-working Day</v>
      </c>
      <c r="V473" t="str">
        <f>CHOOSE(BikeData[[#This Row],[weekday]]+1,"Sunday","Monday","Tuesday","Wednesday","Thursday","Friday","Saturday")</f>
        <v>Monday</v>
      </c>
      <c r="W473" t="str">
        <f>CHOOSE(BikeData[[#This Row],[weathersit]],"Clear / Few Clouds","Mist / Cloudy","Light Rain / Snow","Heavy Rain / Snow")</f>
        <v>Clear / Few Clouds</v>
      </c>
    </row>
    <row r="474" spans="1:23" x14ac:dyDescent="0.3">
      <c r="A474">
        <v>473</v>
      </c>
      <c r="B474" s="1">
        <v>41016</v>
      </c>
      <c r="C474">
        <v>2</v>
      </c>
      <c r="D474">
        <v>1</v>
      </c>
      <c r="E474">
        <v>4</v>
      </c>
      <c r="F474">
        <v>0</v>
      </c>
      <c r="G474">
        <v>2</v>
      </c>
      <c r="H474">
        <v>1</v>
      </c>
      <c r="I474">
        <v>1</v>
      </c>
      <c r="J474">
        <v>0.60833300000000001</v>
      </c>
      <c r="K474">
        <v>0.59848699999999999</v>
      </c>
      <c r="L474">
        <v>0.39041700000000001</v>
      </c>
      <c r="M474">
        <v>0.27362900000000001</v>
      </c>
      <c r="N474">
        <v>989</v>
      </c>
      <c r="O474">
        <v>5702</v>
      </c>
      <c r="P474">
        <v>6691</v>
      </c>
      <c r="Q474" t="str">
        <f>IF(BikeData[[#This Row],[casual]]+BikeData[[#This Row],[registered]]=BikeData[[#This Row],[cnt]],"OK","Check")</f>
        <v>OK</v>
      </c>
      <c r="R474">
        <f>IF(BikeData[[#This Row],[yr]]=0,2011,2012)</f>
        <v>2012</v>
      </c>
      <c r="S474" t="str">
        <f>CHOOSE(BikeData[[#This Row],[season]],"Winter","Spring","Summer","Fall")</f>
        <v>Spring</v>
      </c>
      <c r="T474" t="str">
        <f>TEXT(DATE(2000,BikeData[[#This Row],[mnth]],1),"mmmm")</f>
        <v>April</v>
      </c>
      <c r="U474" t="str">
        <f>IF(BikeData[[#This Row],[workingday]]=1,"Working Day","Non-working Day")</f>
        <v>Working Day</v>
      </c>
      <c r="V474" t="str">
        <f>CHOOSE(BikeData[[#This Row],[weekday]]+1,"Sunday","Monday","Tuesday","Wednesday","Thursday","Friday","Saturday")</f>
        <v>Tuesday</v>
      </c>
      <c r="W474" t="str">
        <f>CHOOSE(BikeData[[#This Row],[weathersit]],"Clear / Few Clouds","Mist / Cloudy","Light Rain / Snow","Heavy Rain / Snow")</f>
        <v>Clear / Few Clouds</v>
      </c>
    </row>
    <row r="475" spans="1:23" x14ac:dyDescent="0.3">
      <c r="A475">
        <v>474</v>
      </c>
      <c r="B475" s="1">
        <v>41017</v>
      </c>
      <c r="C475">
        <v>2</v>
      </c>
      <c r="D475">
        <v>1</v>
      </c>
      <c r="E475">
        <v>4</v>
      </c>
      <c r="F475">
        <v>0</v>
      </c>
      <c r="G475">
        <v>3</v>
      </c>
      <c r="H475">
        <v>1</v>
      </c>
      <c r="I475">
        <v>2</v>
      </c>
      <c r="J475">
        <v>0.46333299999999999</v>
      </c>
      <c r="K475">
        <v>0.457038</v>
      </c>
      <c r="L475">
        <v>0.56916699999999998</v>
      </c>
      <c r="M475">
        <v>0.16791200000000001</v>
      </c>
      <c r="N475">
        <v>347</v>
      </c>
      <c r="O475">
        <v>4020</v>
      </c>
      <c r="P475">
        <v>4367</v>
      </c>
      <c r="Q475" t="str">
        <f>IF(BikeData[[#This Row],[casual]]+BikeData[[#This Row],[registered]]=BikeData[[#This Row],[cnt]],"OK","Check")</f>
        <v>OK</v>
      </c>
      <c r="R475">
        <f>IF(BikeData[[#This Row],[yr]]=0,2011,2012)</f>
        <v>2012</v>
      </c>
      <c r="S475" t="str">
        <f>CHOOSE(BikeData[[#This Row],[season]],"Winter","Spring","Summer","Fall")</f>
        <v>Spring</v>
      </c>
      <c r="T475" t="str">
        <f>TEXT(DATE(2000,BikeData[[#This Row],[mnth]],1),"mmmm")</f>
        <v>April</v>
      </c>
      <c r="U475" t="str">
        <f>IF(BikeData[[#This Row],[workingday]]=1,"Working Day","Non-working Day")</f>
        <v>Working Day</v>
      </c>
      <c r="V475" t="str">
        <f>CHOOSE(BikeData[[#This Row],[weekday]]+1,"Sunday","Monday","Tuesday","Wednesday","Thursday","Friday","Saturday")</f>
        <v>Wednesday</v>
      </c>
      <c r="W475" t="str">
        <f>CHOOSE(BikeData[[#This Row],[weathersit]],"Clear / Few Clouds","Mist / Cloudy","Light Rain / Snow","Heavy Rain / Snow")</f>
        <v>Mist / Cloudy</v>
      </c>
    </row>
    <row r="476" spans="1:23" x14ac:dyDescent="0.3">
      <c r="A476">
        <v>475</v>
      </c>
      <c r="B476" s="1">
        <v>41018</v>
      </c>
      <c r="C476">
        <v>2</v>
      </c>
      <c r="D476">
        <v>1</v>
      </c>
      <c r="E476">
        <v>4</v>
      </c>
      <c r="F476">
        <v>0</v>
      </c>
      <c r="G476">
        <v>4</v>
      </c>
      <c r="H476">
        <v>1</v>
      </c>
      <c r="I476">
        <v>1</v>
      </c>
      <c r="J476">
        <v>0.49833300000000003</v>
      </c>
      <c r="K476">
        <v>0.49304599999999998</v>
      </c>
      <c r="L476">
        <v>0.61250000000000004</v>
      </c>
      <c r="M476">
        <v>6.5929199999999993E-2</v>
      </c>
      <c r="N476">
        <v>846</v>
      </c>
      <c r="O476">
        <v>5719</v>
      </c>
      <c r="P476">
        <v>6565</v>
      </c>
      <c r="Q476" t="str">
        <f>IF(BikeData[[#This Row],[casual]]+BikeData[[#This Row],[registered]]=BikeData[[#This Row],[cnt]],"OK","Check")</f>
        <v>OK</v>
      </c>
      <c r="R476">
        <f>IF(BikeData[[#This Row],[yr]]=0,2011,2012)</f>
        <v>2012</v>
      </c>
      <c r="S476" t="str">
        <f>CHOOSE(BikeData[[#This Row],[season]],"Winter","Spring","Summer","Fall")</f>
        <v>Spring</v>
      </c>
      <c r="T476" t="str">
        <f>TEXT(DATE(2000,BikeData[[#This Row],[mnth]],1),"mmmm")</f>
        <v>April</v>
      </c>
      <c r="U476" t="str">
        <f>IF(BikeData[[#This Row],[workingday]]=1,"Working Day","Non-working Day")</f>
        <v>Working Day</v>
      </c>
      <c r="V476" t="str">
        <f>CHOOSE(BikeData[[#This Row],[weekday]]+1,"Sunday","Monday","Tuesday","Wednesday","Thursday","Friday","Saturday")</f>
        <v>Thursday</v>
      </c>
      <c r="W476" t="str">
        <f>CHOOSE(BikeData[[#This Row],[weathersit]],"Clear / Few Clouds","Mist / Cloudy","Light Rain / Snow","Heavy Rain / Snow")</f>
        <v>Clear / Few Clouds</v>
      </c>
    </row>
    <row r="477" spans="1:23" x14ac:dyDescent="0.3">
      <c r="A477">
        <v>476</v>
      </c>
      <c r="B477" s="1">
        <v>41019</v>
      </c>
      <c r="C477">
        <v>2</v>
      </c>
      <c r="D477">
        <v>1</v>
      </c>
      <c r="E477">
        <v>4</v>
      </c>
      <c r="F477">
        <v>0</v>
      </c>
      <c r="G477">
        <v>5</v>
      </c>
      <c r="H477">
        <v>1</v>
      </c>
      <c r="I477">
        <v>1</v>
      </c>
      <c r="J477">
        <v>0.526667</v>
      </c>
      <c r="K477">
        <v>0.51577499999999998</v>
      </c>
      <c r="L477">
        <v>0.69458299999999995</v>
      </c>
      <c r="M477">
        <v>0.149871</v>
      </c>
      <c r="N477">
        <v>1340</v>
      </c>
      <c r="O477">
        <v>5950</v>
      </c>
      <c r="P477">
        <v>7290</v>
      </c>
      <c r="Q477" t="str">
        <f>IF(BikeData[[#This Row],[casual]]+BikeData[[#This Row],[registered]]=BikeData[[#This Row],[cnt]],"OK","Check")</f>
        <v>OK</v>
      </c>
      <c r="R477">
        <f>IF(BikeData[[#This Row],[yr]]=0,2011,2012)</f>
        <v>2012</v>
      </c>
      <c r="S477" t="str">
        <f>CHOOSE(BikeData[[#This Row],[season]],"Winter","Spring","Summer","Fall")</f>
        <v>Spring</v>
      </c>
      <c r="T477" t="str">
        <f>TEXT(DATE(2000,BikeData[[#This Row],[mnth]],1),"mmmm")</f>
        <v>April</v>
      </c>
      <c r="U477" t="str">
        <f>IF(BikeData[[#This Row],[workingday]]=1,"Working Day","Non-working Day")</f>
        <v>Working Day</v>
      </c>
      <c r="V477" t="str">
        <f>CHOOSE(BikeData[[#This Row],[weekday]]+1,"Sunday","Monday","Tuesday","Wednesday","Thursday","Friday","Saturday")</f>
        <v>Friday</v>
      </c>
      <c r="W477" t="str">
        <f>CHOOSE(BikeData[[#This Row],[weathersit]],"Clear / Few Clouds","Mist / Cloudy","Light Rain / Snow","Heavy Rain / Snow")</f>
        <v>Clear / Few Clouds</v>
      </c>
    </row>
    <row r="478" spans="1:23" x14ac:dyDescent="0.3">
      <c r="A478">
        <v>477</v>
      </c>
      <c r="B478" s="1">
        <v>41020</v>
      </c>
      <c r="C478">
        <v>2</v>
      </c>
      <c r="D478">
        <v>1</v>
      </c>
      <c r="E478">
        <v>4</v>
      </c>
      <c r="F478">
        <v>0</v>
      </c>
      <c r="G478">
        <v>6</v>
      </c>
      <c r="H478">
        <v>0</v>
      </c>
      <c r="I478">
        <v>1</v>
      </c>
      <c r="J478">
        <v>0.56999999999999995</v>
      </c>
      <c r="K478">
        <v>0.54292099999999999</v>
      </c>
      <c r="L478">
        <v>0.682917</v>
      </c>
      <c r="M478">
        <v>0.28358699999999998</v>
      </c>
      <c r="N478">
        <v>2541</v>
      </c>
      <c r="O478">
        <v>4083</v>
      </c>
      <c r="P478">
        <v>6624</v>
      </c>
      <c r="Q478" t="str">
        <f>IF(BikeData[[#This Row],[casual]]+BikeData[[#This Row],[registered]]=BikeData[[#This Row],[cnt]],"OK","Check")</f>
        <v>OK</v>
      </c>
      <c r="R478">
        <f>IF(BikeData[[#This Row],[yr]]=0,2011,2012)</f>
        <v>2012</v>
      </c>
      <c r="S478" t="str">
        <f>CHOOSE(BikeData[[#This Row],[season]],"Winter","Spring","Summer","Fall")</f>
        <v>Spring</v>
      </c>
      <c r="T478" t="str">
        <f>TEXT(DATE(2000,BikeData[[#This Row],[mnth]],1),"mmmm")</f>
        <v>April</v>
      </c>
      <c r="U478" t="str">
        <f>IF(BikeData[[#This Row],[workingday]]=1,"Working Day","Non-working Day")</f>
        <v>Non-working Day</v>
      </c>
      <c r="V478" t="str">
        <f>CHOOSE(BikeData[[#This Row],[weekday]]+1,"Sunday","Monday","Tuesday","Wednesday","Thursday","Friday","Saturday")</f>
        <v>Saturday</v>
      </c>
      <c r="W478" t="str">
        <f>CHOOSE(BikeData[[#This Row],[weathersit]],"Clear / Few Clouds","Mist / Cloudy","Light Rain / Snow","Heavy Rain / Snow")</f>
        <v>Clear / Few Clouds</v>
      </c>
    </row>
    <row r="479" spans="1:23" x14ac:dyDescent="0.3">
      <c r="A479">
        <v>478</v>
      </c>
      <c r="B479" s="1">
        <v>41021</v>
      </c>
      <c r="C479">
        <v>2</v>
      </c>
      <c r="D479">
        <v>1</v>
      </c>
      <c r="E479">
        <v>4</v>
      </c>
      <c r="F479">
        <v>0</v>
      </c>
      <c r="G479">
        <v>0</v>
      </c>
      <c r="H479">
        <v>0</v>
      </c>
      <c r="I479">
        <v>3</v>
      </c>
      <c r="J479">
        <v>0.39666699999999999</v>
      </c>
      <c r="K479">
        <v>0.38950400000000002</v>
      </c>
      <c r="L479">
        <v>0.83541699999999997</v>
      </c>
      <c r="M479">
        <v>0.34454600000000002</v>
      </c>
      <c r="N479">
        <v>120</v>
      </c>
      <c r="O479">
        <v>907</v>
      </c>
      <c r="P479">
        <v>1027</v>
      </c>
      <c r="Q479" t="str">
        <f>IF(BikeData[[#This Row],[casual]]+BikeData[[#This Row],[registered]]=BikeData[[#This Row],[cnt]],"OK","Check")</f>
        <v>OK</v>
      </c>
      <c r="R479">
        <f>IF(BikeData[[#This Row],[yr]]=0,2011,2012)</f>
        <v>2012</v>
      </c>
      <c r="S479" t="str">
        <f>CHOOSE(BikeData[[#This Row],[season]],"Winter","Spring","Summer","Fall")</f>
        <v>Spring</v>
      </c>
      <c r="T479" t="str">
        <f>TEXT(DATE(2000,BikeData[[#This Row],[mnth]],1),"mmmm")</f>
        <v>April</v>
      </c>
      <c r="U479" t="str">
        <f>IF(BikeData[[#This Row],[workingday]]=1,"Working Day","Non-working Day")</f>
        <v>Non-working Day</v>
      </c>
      <c r="V479" t="str">
        <f>CHOOSE(BikeData[[#This Row],[weekday]]+1,"Sunday","Monday","Tuesday","Wednesday","Thursday","Friday","Saturday")</f>
        <v>Sunday</v>
      </c>
      <c r="W479" t="str">
        <f>CHOOSE(BikeData[[#This Row],[weathersit]],"Clear / Few Clouds","Mist / Cloudy","Light Rain / Snow","Heavy Rain / Snow")</f>
        <v>Light Rain / Snow</v>
      </c>
    </row>
    <row r="480" spans="1:23" x14ac:dyDescent="0.3">
      <c r="A480">
        <v>479</v>
      </c>
      <c r="B480" s="1">
        <v>41022</v>
      </c>
      <c r="C480">
        <v>2</v>
      </c>
      <c r="D480">
        <v>1</v>
      </c>
      <c r="E480">
        <v>4</v>
      </c>
      <c r="F480">
        <v>0</v>
      </c>
      <c r="G480">
        <v>1</v>
      </c>
      <c r="H480">
        <v>1</v>
      </c>
      <c r="I480">
        <v>2</v>
      </c>
      <c r="J480">
        <v>0.32166699999999998</v>
      </c>
      <c r="K480">
        <v>0.30112499999999998</v>
      </c>
      <c r="L480">
        <v>0.76666699999999999</v>
      </c>
      <c r="M480">
        <v>0.30349599999999999</v>
      </c>
      <c r="N480">
        <v>195</v>
      </c>
      <c r="O480">
        <v>3019</v>
      </c>
      <c r="P480">
        <v>3214</v>
      </c>
      <c r="Q480" t="str">
        <f>IF(BikeData[[#This Row],[casual]]+BikeData[[#This Row],[registered]]=BikeData[[#This Row],[cnt]],"OK","Check")</f>
        <v>OK</v>
      </c>
      <c r="R480">
        <f>IF(BikeData[[#This Row],[yr]]=0,2011,2012)</f>
        <v>2012</v>
      </c>
      <c r="S480" t="str">
        <f>CHOOSE(BikeData[[#This Row],[season]],"Winter","Spring","Summer","Fall")</f>
        <v>Spring</v>
      </c>
      <c r="T480" t="str">
        <f>TEXT(DATE(2000,BikeData[[#This Row],[mnth]],1),"mmmm")</f>
        <v>April</v>
      </c>
      <c r="U480" t="str">
        <f>IF(BikeData[[#This Row],[workingday]]=1,"Working Day","Non-working Day")</f>
        <v>Working Day</v>
      </c>
      <c r="V480" t="str">
        <f>CHOOSE(BikeData[[#This Row],[weekday]]+1,"Sunday","Monday","Tuesday","Wednesday","Thursday","Friday","Saturday")</f>
        <v>Monday</v>
      </c>
      <c r="W480" t="str">
        <f>CHOOSE(BikeData[[#This Row],[weathersit]],"Clear / Few Clouds","Mist / Cloudy","Light Rain / Snow","Heavy Rain / Snow")</f>
        <v>Mist / Cloudy</v>
      </c>
    </row>
    <row r="481" spans="1:23" x14ac:dyDescent="0.3">
      <c r="A481">
        <v>480</v>
      </c>
      <c r="B481" s="1">
        <v>41023</v>
      </c>
      <c r="C481">
        <v>2</v>
      </c>
      <c r="D481">
        <v>1</v>
      </c>
      <c r="E481">
        <v>4</v>
      </c>
      <c r="F481">
        <v>0</v>
      </c>
      <c r="G481">
        <v>2</v>
      </c>
      <c r="H481">
        <v>1</v>
      </c>
      <c r="I481">
        <v>1</v>
      </c>
      <c r="J481">
        <v>0.41333300000000001</v>
      </c>
      <c r="K481">
        <v>0.405283</v>
      </c>
      <c r="L481">
        <v>0.45416699999999999</v>
      </c>
      <c r="M481">
        <v>0.24938299999999999</v>
      </c>
      <c r="N481">
        <v>518</v>
      </c>
      <c r="O481">
        <v>5115</v>
      </c>
      <c r="P481">
        <v>5633</v>
      </c>
      <c r="Q481" t="str">
        <f>IF(BikeData[[#This Row],[casual]]+BikeData[[#This Row],[registered]]=BikeData[[#This Row],[cnt]],"OK","Check")</f>
        <v>OK</v>
      </c>
      <c r="R481">
        <f>IF(BikeData[[#This Row],[yr]]=0,2011,2012)</f>
        <v>2012</v>
      </c>
      <c r="S481" t="str">
        <f>CHOOSE(BikeData[[#This Row],[season]],"Winter","Spring","Summer","Fall")</f>
        <v>Spring</v>
      </c>
      <c r="T481" t="str">
        <f>TEXT(DATE(2000,BikeData[[#This Row],[mnth]],1),"mmmm")</f>
        <v>April</v>
      </c>
      <c r="U481" t="str">
        <f>IF(BikeData[[#This Row],[workingday]]=1,"Working Day","Non-working Day")</f>
        <v>Working Day</v>
      </c>
      <c r="V481" t="str">
        <f>CHOOSE(BikeData[[#This Row],[weekday]]+1,"Sunday","Monday","Tuesday","Wednesday","Thursday","Friday","Saturday")</f>
        <v>Tuesday</v>
      </c>
      <c r="W481" t="str">
        <f>CHOOSE(BikeData[[#This Row],[weathersit]],"Clear / Few Clouds","Mist / Cloudy","Light Rain / Snow","Heavy Rain / Snow")</f>
        <v>Clear / Few Clouds</v>
      </c>
    </row>
    <row r="482" spans="1:23" x14ac:dyDescent="0.3">
      <c r="A482">
        <v>481</v>
      </c>
      <c r="B482" s="1">
        <v>41024</v>
      </c>
      <c r="C482">
        <v>2</v>
      </c>
      <c r="D482">
        <v>1</v>
      </c>
      <c r="E482">
        <v>4</v>
      </c>
      <c r="F482">
        <v>0</v>
      </c>
      <c r="G482">
        <v>3</v>
      </c>
      <c r="H482">
        <v>1</v>
      </c>
      <c r="I482">
        <v>1</v>
      </c>
      <c r="J482">
        <v>0.47666700000000001</v>
      </c>
      <c r="K482">
        <v>0.47031699999999999</v>
      </c>
      <c r="L482">
        <v>0.42791699999999999</v>
      </c>
      <c r="M482">
        <v>0.11879199999999999</v>
      </c>
      <c r="N482">
        <v>655</v>
      </c>
      <c r="O482">
        <v>5541</v>
      </c>
      <c r="P482">
        <v>6196</v>
      </c>
      <c r="Q482" t="str">
        <f>IF(BikeData[[#This Row],[casual]]+BikeData[[#This Row],[registered]]=BikeData[[#This Row],[cnt]],"OK","Check")</f>
        <v>OK</v>
      </c>
      <c r="R482">
        <f>IF(BikeData[[#This Row],[yr]]=0,2011,2012)</f>
        <v>2012</v>
      </c>
      <c r="S482" t="str">
        <f>CHOOSE(BikeData[[#This Row],[season]],"Winter","Spring","Summer","Fall")</f>
        <v>Spring</v>
      </c>
      <c r="T482" t="str">
        <f>TEXT(DATE(2000,BikeData[[#This Row],[mnth]],1),"mmmm")</f>
        <v>April</v>
      </c>
      <c r="U482" t="str">
        <f>IF(BikeData[[#This Row],[workingday]]=1,"Working Day","Non-working Day")</f>
        <v>Working Day</v>
      </c>
      <c r="V482" t="str">
        <f>CHOOSE(BikeData[[#This Row],[weekday]]+1,"Sunday","Monday","Tuesday","Wednesday","Thursday","Friday","Saturday")</f>
        <v>Wednesday</v>
      </c>
      <c r="W482" t="str">
        <f>CHOOSE(BikeData[[#This Row],[weathersit]],"Clear / Few Clouds","Mist / Cloudy","Light Rain / Snow","Heavy Rain / Snow")</f>
        <v>Clear / Few Clouds</v>
      </c>
    </row>
    <row r="483" spans="1:23" x14ac:dyDescent="0.3">
      <c r="A483">
        <v>482</v>
      </c>
      <c r="B483" s="1">
        <v>41025</v>
      </c>
      <c r="C483">
        <v>2</v>
      </c>
      <c r="D483">
        <v>1</v>
      </c>
      <c r="E483">
        <v>4</v>
      </c>
      <c r="F483">
        <v>0</v>
      </c>
      <c r="G483">
        <v>4</v>
      </c>
      <c r="H483">
        <v>1</v>
      </c>
      <c r="I483">
        <v>2</v>
      </c>
      <c r="J483">
        <v>0.49833300000000003</v>
      </c>
      <c r="K483">
        <v>0.48358299999999999</v>
      </c>
      <c r="L483">
        <v>0.75666699999999998</v>
      </c>
      <c r="M483">
        <v>0.176625</v>
      </c>
      <c r="N483">
        <v>475</v>
      </c>
      <c r="O483">
        <v>4551</v>
      </c>
      <c r="P483">
        <v>5026</v>
      </c>
      <c r="Q483" t="str">
        <f>IF(BikeData[[#This Row],[casual]]+BikeData[[#This Row],[registered]]=BikeData[[#This Row],[cnt]],"OK","Check")</f>
        <v>OK</v>
      </c>
      <c r="R483">
        <f>IF(BikeData[[#This Row],[yr]]=0,2011,2012)</f>
        <v>2012</v>
      </c>
      <c r="S483" t="str">
        <f>CHOOSE(BikeData[[#This Row],[season]],"Winter","Spring","Summer","Fall")</f>
        <v>Spring</v>
      </c>
      <c r="T483" t="str">
        <f>TEXT(DATE(2000,BikeData[[#This Row],[mnth]],1),"mmmm")</f>
        <v>April</v>
      </c>
      <c r="U483" t="str">
        <f>IF(BikeData[[#This Row],[workingday]]=1,"Working Day","Non-working Day")</f>
        <v>Working Day</v>
      </c>
      <c r="V483" t="str">
        <f>CHOOSE(BikeData[[#This Row],[weekday]]+1,"Sunday","Monday","Tuesday","Wednesday","Thursday","Friday","Saturday")</f>
        <v>Thursday</v>
      </c>
      <c r="W483" t="str">
        <f>CHOOSE(BikeData[[#This Row],[weathersit]],"Clear / Few Clouds","Mist / Cloudy","Light Rain / Snow","Heavy Rain / Snow")</f>
        <v>Mist / Cloudy</v>
      </c>
    </row>
    <row r="484" spans="1:23" x14ac:dyDescent="0.3">
      <c r="A484">
        <v>483</v>
      </c>
      <c r="B484" s="1">
        <v>41026</v>
      </c>
      <c r="C484">
        <v>2</v>
      </c>
      <c r="D484">
        <v>1</v>
      </c>
      <c r="E484">
        <v>4</v>
      </c>
      <c r="F484">
        <v>0</v>
      </c>
      <c r="G484">
        <v>5</v>
      </c>
      <c r="H484">
        <v>1</v>
      </c>
      <c r="I484">
        <v>1</v>
      </c>
      <c r="J484">
        <v>0.45750000000000002</v>
      </c>
      <c r="K484">
        <v>0.45263700000000001</v>
      </c>
      <c r="L484">
        <v>0.40083299999999999</v>
      </c>
      <c r="M484">
        <v>0.34763300000000003</v>
      </c>
      <c r="N484">
        <v>1014</v>
      </c>
      <c r="O484">
        <v>5219</v>
      </c>
      <c r="P484">
        <v>6233</v>
      </c>
      <c r="Q484" t="str">
        <f>IF(BikeData[[#This Row],[casual]]+BikeData[[#This Row],[registered]]=BikeData[[#This Row],[cnt]],"OK","Check")</f>
        <v>OK</v>
      </c>
      <c r="R484">
        <f>IF(BikeData[[#This Row],[yr]]=0,2011,2012)</f>
        <v>2012</v>
      </c>
      <c r="S484" t="str">
        <f>CHOOSE(BikeData[[#This Row],[season]],"Winter","Spring","Summer","Fall")</f>
        <v>Spring</v>
      </c>
      <c r="T484" t="str">
        <f>TEXT(DATE(2000,BikeData[[#This Row],[mnth]],1),"mmmm")</f>
        <v>April</v>
      </c>
      <c r="U484" t="str">
        <f>IF(BikeData[[#This Row],[workingday]]=1,"Working Day","Non-working Day")</f>
        <v>Working Day</v>
      </c>
      <c r="V484" t="str">
        <f>CHOOSE(BikeData[[#This Row],[weekday]]+1,"Sunday","Monday","Tuesday","Wednesday","Thursday","Friday","Saturday")</f>
        <v>Friday</v>
      </c>
      <c r="W484" t="str">
        <f>CHOOSE(BikeData[[#This Row],[weathersit]],"Clear / Few Clouds","Mist / Cloudy","Light Rain / Snow","Heavy Rain / Snow")</f>
        <v>Clear / Few Clouds</v>
      </c>
    </row>
    <row r="485" spans="1:23" x14ac:dyDescent="0.3">
      <c r="A485">
        <v>484</v>
      </c>
      <c r="B485" s="1">
        <v>41027</v>
      </c>
      <c r="C485">
        <v>2</v>
      </c>
      <c r="D485">
        <v>1</v>
      </c>
      <c r="E485">
        <v>4</v>
      </c>
      <c r="F485">
        <v>0</v>
      </c>
      <c r="G485">
        <v>6</v>
      </c>
      <c r="H485">
        <v>0</v>
      </c>
      <c r="I485">
        <v>2</v>
      </c>
      <c r="J485">
        <v>0.37666699999999997</v>
      </c>
      <c r="K485">
        <v>0.37750400000000001</v>
      </c>
      <c r="L485">
        <v>0.48958299999999999</v>
      </c>
      <c r="M485">
        <v>0.12997500000000001</v>
      </c>
      <c r="N485">
        <v>1120</v>
      </c>
      <c r="O485">
        <v>3100</v>
      </c>
      <c r="P485">
        <v>4220</v>
      </c>
      <c r="Q485" t="str">
        <f>IF(BikeData[[#This Row],[casual]]+BikeData[[#This Row],[registered]]=BikeData[[#This Row],[cnt]],"OK","Check")</f>
        <v>OK</v>
      </c>
      <c r="R485">
        <f>IF(BikeData[[#This Row],[yr]]=0,2011,2012)</f>
        <v>2012</v>
      </c>
      <c r="S485" t="str">
        <f>CHOOSE(BikeData[[#This Row],[season]],"Winter","Spring","Summer","Fall")</f>
        <v>Spring</v>
      </c>
      <c r="T485" t="str">
        <f>TEXT(DATE(2000,BikeData[[#This Row],[mnth]],1),"mmmm")</f>
        <v>April</v>
      </c>
      <c r="U485" t="str">
        <f>IF(BikeData[[#This Row],[workingday]]=1,"Working Day","Non-working Day")</f>
        <v>Non-working Day</v>
      </c>
      <c r="V485" t="str">
        <f>CHOOSE(BikeData[[#This Row],[weekday]]+1,"Sunday","Monday","Tuesday","Wednesday","Thursday","Friday","Saturday")</f>
        <v>Saturday</v>
      </c>
      <c r="W485" t="str">
        <f>CHOOSE(BikeData[[#This Row],[weathersit]],"Clear / Few Clouds","Mist / Cloudy","Light Rain / Snow","Heavy Rain / Snow")</f>
        <v>Mist / Cloudy</v>
      </c>
    </row>
    <row r="486" spans="1:23" x14ac:dyDescent="0.3">
      <c r="A486">
        <v>485</v>
      </c>
      <c r="B486" s="1">
        <v>41028</v>
      </c>
      <c r="C486">
        <v>2</v>
      </c>
      <c r="D486">
        <v>1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0.45833299999999999</v>
      </c>
      <c r="K486">
        <v>0.45012099999999999</v>
      </c>
      <c r="L486">
        <v>0.58708300000000002</v>
      </c>
      <c r="M486">
        <v>0.116908</v>
      </c>
      <c r="N486">
        <v>2229</v>
      </c>
      <c r="O486">
        <v>4075</v>
      </c>
      <c r="P486">
        <v>6304</v>
      </c>
      <c r="Q486" t="str">
        <f>IF(BikeData[[#This Row],[casual]]+BikeData[[#This Row],[registered]]=BikeData[[#This Row],[cnt]],"OK","Check")</f>
        <v>OK</v>
      </c>
      <c r="R486">
        <f>IF(BikeData[[#This Row],[yr]]=0,2011,2012)</f>
        <v>2012</v>
      </c>
      <c r="S486" t="str">
        <f>CHOOSE(BikeData[[#This Row],[season]],"Winter","Spring","Summer","Fall")</f>
        <v>Spring</v>
      </c>
      <c r="T486" t="str">
        <f>TEXT(DATE(2000,BikeData[[#This Row],[mnth]],1),"mmmm")</f>
        <v>April</v>
      </c>
      <c r="U486" t="str">
        <f>IF(BikeData[[#This Row],[workingday]]=1,"Working Day","Non-working Day")</f>
        <v>Non-working Day</v>
      </c>
      <c r="V486" t="str">
        <f>CHOOSE(BikeData[[#This Row],[weekday]]+1,"Sunday","Monday","Tuesday","Wednesday","Thursday","Friday","Saturday")</f>
        <v>Sunday</v>
      </c>
      <c r="W486" t="str">
        <f>CHOOSE(BikeData[[#This Row],[weathersit]],"Clear / Few Clouds","Mist / Cloudy","Light Rain / Snow","Heavy Rain / Snow")</f>
        <v>Clear / Few Clouds</v>
      </c>
    </row>
    <row r="487" spans="1:23" x14ac:dyDescent="0.3">
      <c r="A487">
        <v>486</v>
      </c>
      <c r="B487" s="1">
        <v>41029</v>
      </c>
      <c r="C487">
        <v>2</v>
      </c>
      <c r="D487">
        <v>1</v>
      </c>
      <c r="E487">
        <v>4</v>
      </c>
      <c r="F487">
        <v>0</v>
      </c>
      <c r="G487">
        <v>1</v>
      </c>
      <c r="H487">
        <v>1</v>
      </c>
      <c r="I487">
        <v>2</v>
      </c>
      <c r="J487">
        <v>0.464167</v>
      </c>
      <c r="K487">
        <v>0.45769599999999999</v>
      </c>
      <c r="L487">
        <v>0.56999999999999995</v>
      </c>
      <c r="M487">
        <v>0.17163800000000001</v>
      </c>
      <c r="N487">
        <v>665</v>
      </c>
      <c r="O487">
        <v>4907</v>
      </c>
      <c r="P487">
        <v>5572</v>
      </c>
      <c r="Q487" t="str">
        <f>IF(BikeData[[#This Row],[casual]]+BikeData[[#This Row],[registered]]=BikeData[[#This Row],[cnt]],"OK","Check")</f>
        <v>OK</v>
      </c>
      <c r="R487">
        <f>IF(BikeData[[#This Row],[yr]]=0,2011,2012)</f>
        <v>2012</v>
      </c>
      <c r="S487" t="str">
        <f>CHOOSE(BikeData[[#This Row],[season]],"Winter","Spring","Summer","Fall")</f>
        <v>Spring</v>
      </c>
      <c r="T487" t="str">
        <f>TEXT(DATE(2000,BikeData[[#This Row],[mnth]],1),"mmmm")</f>
        <v>April</v>
      </c>
      <c r="U487" t="str">
        <f>IF(BikeData[[#This Row],[workingday]]=1,"Working Day","Non-working Day")</f>
        <v>Working Day</v>
      </c>
      <c r="V487" t="str">
        <f>CHOOSE(BikeData[[#This Row],[weekday]]+1,"Sunday","Monday","Tuesday","Wednesday","Thursday","Friday","Saturday")</f>
        <v>Monday</v>
      </c>
      <c r="W487" t="str">
        <f>CHOOSE(BikeData[[#This Row],[weathersit]],"Clear / Few Clouds","Mist / Cloudy","Light Rain / Snow","Heavy Rain / Snow")</f>
        <v>Mist / Cloudy</v>
      </c>
    </row>
    <row r="488" spans="1:23" x14ac:dyDescent="0.3">
      <c r="A488">
        <v>487</v>
      </c>
      <c r="B488" s="1">
        <v>41030</v>
      </c>
      <c r="C488">
        <v>2</v>
      </c>
      <c r="D488">
        <v>1</v>
      </c>
      <c r="E488">
        <v>5</v>
      </c>
      <c r="F488">
        <v>0</v>
      </c>
      <c r="G488">
        <v>2</v>
      </c>
      <c r="H488">
        <v>1</v>
      </c>
      <c r="I488">
        <v>2</v>
      </c>
      <c r="J488">
        <v>0.61333300000000002</v>
      </c>
      <c r="K488">
        <v>0.57702100000000001</v>
      </c>
      <c r="L488">
        <v>0.65958300000000003</v>
      </c>
      <c r="M488">
        <v>0.15609600000000001</v>
      </c>
      <c r="N488">
        <v>653</v>
      </c>
      <c r="O488">
        <v>5087</v>
      </c>
      <c r="P488">
        <v>5740</v>
      </c>
      <c r="Q488" t="str">
        <f>IF(BikeData[[#This Row],[casual]]+BikeData[[#This Row],[registered]]=BikeData[[#This Row],[cnt]],"OK","Check")</f>
        <v>OK</v>
      </c>
      <c r="R488">
        <f>IF(BikeData[[#This Row],[yr]]=0,2011,2012)</f>
        <v>2012</v>
      </c>
      <c r="S488" t="str">
        <f>CHOOSE(BikeData[[#This Row],[season]],"Winter","Spring","Summer","Fall")</f>
        <v>Spring</v>
      </c>
      <c r="T488" t="str">
        <f>TEXT(DATE(2000,BikeData[[#This Row],[mnth]],1),"mmmm")</f>
        <v>May</v>
      </c>
      <c r="U488" t="str">
        <f>IF(BikeData[[#This Row],[workingday]]=1,"Working Day","Non-working Day")</f>
        <v>Working Day</v>
      </c>
      <c r="V488" t="str">
        <f>CHOOSE(BikeData[[#This Row],[weekday]]+1,"Sunday","Monday","Tuesday","Wednesday","Thursday","Friday","Saturday")</f>
        <v>Tuesday</v>
      </c>
      <c r="W488" t="str">
        <f>CHOOSE(BikeData[[#This Row],[weathersit]],"Clear / Few Clouds","Mist / Cloudy","Light Rain / Snow","Heavy Rain / Snow")</f>
        <v>Mist / Cloudy</v>
      </c>
    </row>
    <row r="489" spans="1:23" x14ac:dyDescent="0.3">
      <c r="A489">
        <v>488</v>
      </c>
      <c r="B489" s="1">
        <v>41031</v>
      </c>
      <c r="C489">
        <v>2</v>
      </c>
      <c r="D489">
        <v>1</v>
      </c>
      <c r="E489">
        <v>5</v>
      </c>
      <c r="F489">
        <v>0</v>
      </c>
      <c r="G489">
        <v>3</v>
      </c>
      <c r="H489">
        <v>1</v>
      </c>
      <c r="I489">
        <v>1</v>
      </c>
      <c r="J489">
        <v>0.56416699999999997</v>
      </c>
      <c r="K489">
        <v>0.53789600000000004</v>
      </c>
      <c r="L489">
        <v>0.79708299999999999</v>
      </c>
      <c r="M489">
        <v>0.13805799999999999</v>
      </c>
      <c r="N489">
        <v>667</v>
      </c>
      <c r="O489">
        <v>5502</v>
      </c>
      <c r="P489">
        <v>6169</v>
      </c>
      <c r="Q489" t="str">
        <f>IF(BikeData[[#This Row],[casual]]+BikeData[[#This Row],[registered]]=BikeData[[#This Row],[cnt]],"OK","Check")</f>
        <v>OK</v>
      </c>
      <c r="R489">
        <f>IF(BikeData[[#This Row],[yr]]=0,2011,2012)</f>
        <v>2012</v>
      </c>
      <c r="S489" t="str">
        <f>CHOOSE(BikeData[[#This Row],[season]],"Winter","Spring","Summer","Fall")</f>
        <v>Spring</v>
      </c>
      <c r="T489" t="str">
        <f>TEXT(DATE(2000,BikeData[[#This Row],[mnth]],1),"mmmm")</f>
        <v>May</v>
      </c>
      <c r="U489" t="str">
        <f>IF(BikeData[[#This Row],[workingday]]=1,"Working Day","Non-working Day")</f>
        <v>Working Day</v>
      </c>
      <c r="V489" t="str">
        <f>CHOOSE(BikeData[[#This Row],[weekday]]+1,"Sunday","Monday","Tuesday","Wednesday","Thursday","Friday","Saturday")</f>
        <v>Wednesday</v>
      </c>
      <c r="W489" t="str">
        <f>CHOOSE(BikeData[[#This Row],[weathersit]],"Clear / Few Clouds","Mist / Cloudy","Light Rain / Snow","Heavy Rain / Snow")</f>
        <v>Clear / Few Clouds</v>
      </c>
    </row>
    <row r="490" spans="1:23" x14ac:dyDescent="0.3">
      <c r="A490">
        <v>489</v>
      </c>
      <c r="B490" s="1">
        <v>41032</v>
      </c>
      <c r="C490">
        <v>2</v>
      </c>
      <c r="D490">
        <v>1</v>
      </c>
      <c r="E490">
        <v>5</v>
      </c>
      <c r="F490">
        <v>0</v>
      </c>
      <c r="G490">
        <v>4</v>
      </c>
      <c r="H490">
        <v>1</v>
      </c>
      <c r="I490">
        <v>2</v>
      </c>
      <c r="J490">
        <v>0.56000000000000005</v>
      </c>
      <c r="K490">
        <v>0.537242</v>
      </c>
      <c r="L490">
        <v>0.76833300000000004</v>
      </c>
      <c r="M490">
        <v>0.13369600000000001</v>
      </c>
      <c r="N490">
        <v>764</v>
      </c>
      <c r="O490">
        <v>5657</v>
      </c>
      <c r="P490">
        <v>6421</v>
      </c>
      <c r="Q490" t="str">
        <f>IF(BikeData[[#This Row],[casual]]+BikeData[[#This Row],[registered]]=BikeData[[#This Row],[cnt]],"OK","Check")</f>
        <v>OK</v>
      </c>
      <c r="R490">
        <f>IF(BikeData[[#This Row],[yr]]=0,2011,2012)</f>
        <v>2012</v>
      </c>
      <c r="S490" t="str">
        <f>CHOOSE(BikeData[[#This Row],[season]],"Winter","Spring","Summer","Fall")</f>
        <v>Spring</v>
      </c>
      <c r="T490" t="str">
        <f>TEXT(DATE(2000,BikeData[[#This Row],[mnth]],1),"mmmm")</f>
        <v>May</v>
      </c>
      <c r="U490" t="str">
        <f>IF(BikeData[[#This Row],[workingday]]=1,"Working Day","Non-working Day")</f>
        <v>Working Day</v>
      </c>
      <c r="V490" t="str">
        <f>CHOOSE(BikeData[[#This Row],[weekday]]+1,"Sunday","Monday","Tuesday","Wednesday","Thursday","Friday","Saturday")</f>
        <v>Thursday</v>
      </c>
      <c r="W490" t="str">
        <f>CHOOSE(BikeData[[#This Row],[weathersit]],"Clear / Few Clouds","Mist / Cloudy","Light Rain / Snow","Heavy Rain / Snow")</f>
        <v>Mist / Cloudy</v>
      </c>
    </row>
    <row r="491" spans="1:23" x14ac:dyDescent="0.3">
      <c r="A491">
        <v>490</v>
      </c>
      <c r="B491" s="1">
        <v>41033</v>
      </c>
      <c r="C491">
        <v>2</v>
      </c>
      <c r="D491">
        <v>1</v>
      </c>
      <c r="E491">
        <v>5</v>
      </c>
      <c r="F491">
        <v>0</v>
      </c>
      <c r="G491">
        <v>5</v>
      </c>
      <c r="H491">
        <v>1</v>
      </c>
      <c r="I491">
        <v>1</v>
      </c>
      <c r="J491">
        <v>0.62749999999999995</v>
      </c>
      <c r="K491">
        <v>0.59091700000000003</v>
      </c>
      <c r="L491">
        <v>0.73541699999999999</v>
      </c>
      <c r="M491">
        <v>0.162938</v>
      </c>
      <c r="N491">
        <v>1069</v>
      </c>
      <c r="O491">
        <v>5227</v>
      </c>
      <c r="P491">
        <v>6296</v>
      </c>
      <c r="Q491" t="str">
        <f>IF(BikeData[[#This Row],[casual]]+BikeData[[#This Row],[registered]]=BikeData[[#This Row],[cnt]],"OK","Check")</f>
        <v>OK</v>
      </c>
      <c r="R491">
        <f>IF(BikeData[[#This Row],[yr]]=0,2011,2012)</f>
        <v>2012</v>
      </c>
      <c r="S491" t="str">
        <f>CHOOSE(BikeData[[#This Row],[season]],"Winter","Spring","Summer","Fall")</f>
        <v>Spring</v>
      </c>
      <c r="T491" t="str">
        <f>TEXT(DATE(2000,BikeData[[#This Row],[mnth]],1),"mmmm")</f>
        <v>May</v>
      </c>
      <c r="U491" t="str">
        <f>IF(BikeData[[#This Row],[workingday]]=1,"Working Day","Non-working Day")</f>
        <v>Working Day</v>
      </c>
      <c r="V491" t="str">
        <f>CHOOSE(BikeData[[#This Row],[weekday]]+1,"Sunday","Monday","Tuesday","Wednesday","Thursday","Friday","Saturday")</f>
        <v>Friday</v>
      </c>
      <c r="W491" t="str">
        <f>CHOOSE(BikeData[[#This Row],[weathersit]],"Clear / Few Clouds","Mist / Cloudy","Light Rain / Snow","Heavy Rain / Snow")</f>
        <v>Clear / Few Clouds</v>
      </c>
    </row>
    <row r="492" spans="1:23" x14ac:dyDescent="0.3">
      <c r="A492">
        <v>491</v>
      </c>
      <c r="B492" s="1">
        <v>41034</v>
      </c>
      <c r="C492">
        <v>2</v>
      </c>
      <c r="D492">
        <v>1</v>
      </c>
      <c r="E492">
        <v>5</v>
      </c>
      <c r="F492">
        <v>0</v>
      </c>
      <c r="G492">
        <v>6</v>
      </c>
      <c r="H492">
        <v>0</v>
      </c>
      <c r="I492">
        <v>2</v>
      </c>
      <c r="J492">
        <v>0.62166699999999997</v>
      </c>
      <c r="K492">
        <v>0.58460800000000002</v>
      </c>
      <c r="L492">
        <v>0.75666699999999998</v>
      </c>
      <c r="M492">
        <v>0.15299199999999999</v>
      </c>
      <c r="N492">
        <v>2496</v>
      </c>
      <c r="O492">
        <v>4387</v>
      </c>
      <c r="P492">
        <v>6883</v>
      </c>
      <c r="Q492" t="str">
        <f>IF(BikeData[[#This Row],[casual]]+BikeData[[#This Row],[registered]]=BikeData[[#This Row],[cnt]],"OK","Check")</f>
        <v>OK</v>
      </c>
      <c r="R492">
        <f>IF(BikeData[[#This Row],[yr]]=0,2011,2012)</f>
        <v>2012</v>
      </c>
      <c r="S492" t="str">
        <f>CHOOSE(BikeData[[#This Row],[season]],"Winter","Spring","Summer","Fall")</f>
        <v>Spring</v>
      </c>
      <c r="T492" t="str">
        <f>TEXT(DATE(2000,BikeData[[#This Row],[mnth]],1),"mmmm")</f>
        <v>May</v>
      </c>
      <c r="U492" t="str">
        <f>IF(BikeData[[#This Row],[workingday]]=1,"Working Day","Non-working Day")</f>
        <v>Non-working Day</v>
      </c>
      <c r="V492" t="str">
        <f>CHOOSE(BikeData[[#This Row],[weekday]]+1,"Sunday","Monday","Tuesday","Wednesday","Thursday","Friday","Saturday")</f>
        <v>Saturday</v>
      </c>
      <c r="W492" t="str">
        <f>CHOOSE(BikeData[[#This Row],[weathersit]],"Clear / Few Clouds","Mist / Cloudy","Light Rain / Snow","Heavy Rain / Snow")</f>
        <v>Mist / Cloudy</v>
      </c>
    </row>
    <row r="493" spans="1:23" x14ac:dyDescent="0.3">
      <c r="A493">
        <v>492</v>
      </c>
      <c r="B493" s="1">
        <v>41035</v>
      </c>
      <c r="C493">
        <v>2</v>
      </c>
      <c r="D493">
        <v>1</v>
      </c>
      <c r="E493">
        <v>5</v>
      </c>
      <c r="F493">
        <v>0</v>
      </c>
      <c r="G493">
        <v>0</v>
      </c>
      <c r="H493">
        <v>0</v>
      </c>
      <c r="I493">
        <v>2</v>
      </c>
      <c r="J493">
        <v>0.5625</v>
      </c>
      <c r="K493">
        <v>0.54673700000000003</v>
      </c>
      <c r="L493">
        <v>0.74</v>
      </c>
      <c r="M493">
        <v>0.14987900000000001</v>
      </c>
      <c r="N493">
        <v>2135</v>
      </c>
      <c r="O493">
        <v>4224</v>
      </c>
      <c r="P493">
        <v>6359</v>
      </c>
      <c r="Q493" t="str">
        <f>IF(BikeData[[#This Row],[casual]]+BikeData[[#This Row],[registered]]=BikeData[[#This Row],[cnt]],"OK","Check")</f>
        <v>OK</v>
      </c>
      <c r="R493">
        <f>IF(BikeData[[#This Row],[yr]]=0,2011,2012)</f>
        <v>2012</v>
      </c>
      <c r="S493" t="str">
        <f>CHOOSE(BikeData[[#This Row],[season]],"Winter","Spring","Summer","Fall")</f>
        <v>Spring</v>
      </c>
      <c r="T493" t="str">
        <f>TEXT(DATE(2000,BikeData[[#This Row],[mnth]],1),"mmmm")</f>
        <v>May</v>
      </c>
      <c r="U493" t="str">
        <f>IF(BikeData[[#This Row],[workingday]]=1,"Working Day","Non-working Day")</f>
        <v>Non-working Day</v>
      </c>
      <c r="V493" t="str">
        <f>CHOOSE(BikeData[[#This Row],[weekday]]+1,"Sunday","Monday","Tuesday","Wednesday","Thursday","Friday","Saturday")</f>
        <v>Sunday</v>
      </c>
      <c r="W493" t="str">
        <f>CHOOSE(BikeData[[#This Row],[weathersit]],"Clear / Few Clouds","Mist / Cloudy","Light Rain / Snow","Heavy Rain / Snow")</f>
        <v>Mist / Cloudy</v>
      </c>
    </row>
    <row r="494" spans="1:23" x14ac:dyDescent="0.3">
      <c r="A494">
        <v>493</v>
      </c>
      <c r="B494" s="1">
        <v>41036</v>
      </c>
      <c r="C494">
        <v>2</v>
      </c>
      <c r="D494">
        <v>1</v>
      </c>
      <c r="E494">
        <v>5</v>
      </c>
      <c r="F494">
        <v>0</v>
      </c>
      <c r="G494">
        <v>1</v>
      </c>
      <c r="H494">
        <v>1</v>
      </c>
      <c r="I494">
        <v>2</v>
      </c>
      <c r="J494">
        <v>0.53749999999999998</v>
      </c>
      <c r="K494">
        <v>0.527142</v>
      </c>
      <c r="L494">
        <v>0.66416699999999995</v>
      </c>
      <c r="M494">
        <v>0.23072100000000001</v>
      </c>
      <c r="N494">
        <v>1008</v>
      </c>
      <c r="O494">
        <v>5265</v>
      </c>
      <c r="P494">
        <v>6273</v>
      </c>
      <c r="Q494" t="str">
        <f>IF(BikeData[[#This Row],[casual]]+BikeData[[#This Row],[registered]]=BikeData[[#This Row],[cnt]],"OK","Check")</f>
        <v>OK</v>
      </c>
      <c r="R494">
        <f>IF(BikeData[[#This Row],[yr]]=0,2011,2012)</f>
        <v>2012</v>
      </c>
      <c r="S494" t="str">
        <f>CHOOSE(BikeData[[#This Row],[season]],"Winter","Spring","Summer","Fall")</f>
        <v>Spring</v>
      </c>
      <c r="T494" t="str">
        <f>TEXT(DATE(2000,BikeData[[#This Row],[mnth]],1),"mmmm")</f>
        <v>May</v>
      </c>
      <c r="U494" t="str">
        <f>IF(BikeData[[#This Row],[workingday]]=1,"Working Day","Non-working Day")</f>
        <v>Working Day</v>
      </c>
      <c r="V494" t="str">
        <f>CHOOSE(BikeData[[#This Row],[weekday]]+1,"Sunday","Monday","Tuesday","Wednesday","Thursday","Friday","Saturday")</f>
        <v>Monday</v>
      </c>
      <c r="W494" t="str">
        <f>CHOOSE(BikeData[[#This Row],[weathersit]],"Clear / Few Clouds","Mist / Cloudy","Light Rain / Snow","Heavy Rain / Snow")</f>
        <v>Mist / Cloudy</v>
      </c>
    </row>
    <row r="495" spans="1:23" x14ac:dyDescent="0.3">
      <c r="A495">
        <v>494</v>
      </c>
      <c r="B495" s="1">
        <v>41037</v>
      </c>
      <c r="C495">
        <v>2</v>
      </c>
      <c r="D495">
        <v>1</v>
      </c>
      <c r="E495">
        <v>5</v>
      </c>
      <c r="F495">
        <v>0</v>
      </c>
      <c r="G495">
        <v>2</v>
      </c>
      <c r="H495">
        <v>1</v>
      </c>
      <c r="I495">
        <v>2</v>
      </c>
      <c r="J495">
        <v>0.58166700000000005</v>
      </c>
      <c r="K495">
        <v>0.55747100000000005</v>
      </c>
      <c r="L495">
        <v>0.68583300000000003</v>
      </c>
      <c r="M495">
        <v>0.29602899999999999</v>
      </c>
      <c r="N495">
        <v>738</v>
      </c>
      <c r="O495">
        <v>4990</v>
      </c>
      <c r="P495">
        <v>5728</v>
      </c>
      <c r="Q495" t="str">
        <f>IF(BikeData[[#This Row],[casual]]+BikeData[[#This Row],[registered]]=BikeData[[#This Row],[cnt]],"OK","Check")</f>
        <v>OK</v>
      </c>
      <c r="R495">
        <f>IF(BikeData[[#This Row],[yr]]=0,2011,2012)</f>
        <v>2012</v>
      </c>
      <c r="S495" t="str">
        <f>CHOOSE(BikeData[[#This Row],[season]],"Winter","Spring","Summer","Fall")</f>
        <v>Spring</v>
      </c>
      <c r="T495" t="str">
        <f>TEXT(DATE(2000,BikeData[[#This Row],[mnth]],1),"mmmm")</f>
        <v>May</v>
      </c>
      <c r="U495" t="str">
        <f>IF(BikeData[[#This Row],[workingday]]=1,"Working Day","Non-working Day")</f>
        <v>Working Day</v>
      </c>
      <c r="V495" t="str">
        <f>CHOOSE(BikeData[[#This Row],[weekday]]+1,"Sunday","Monday","Tuesday","Wednesday","Thursday","Friday","Saturday")</f>
        <v>Tuesday</v>
      </c>
      <c r="W495" t="str">
        <f>CHOOSE(BikeData[[#This Row],[weathersit]],"Clear / Few Clouds","Mist / Cloudy","Light Rain / Snow","Heavy Rain / Snow")</f>
        <v>Mist / Cloudy</v>
      </c>
    </row>
    <row r="496" spans="1:23" x14ac:dyDescent="0.3">
      <c r="A496">
        <v>495</v>
      </c>
      <c r="B496" s="1">
        <v>41038</v>
      </c>
      <c r="C496">
        <v>2</v>
      </c>
      <c r="D496">
        <v>1</v>
      </c>
      <c r="E496">
        <v>5</v>
      </c>
      <c r="F496">
        <v>0</v>
      </c>
      <c r="G496">
        <v>3</v>
      </c>
      <c r="H496">
        <v>1</v>
      </c>
      <c r="I496">
        <v>2</v>
      </c>
      <c r="J496">
        <v>0.57499999999999996</v>
      </c>
      <c r="K496">
        <v>0.55302499999999999</v>
      </c>
      <c r="L496">
        <v>0.74416700000000002</v>
      </c>
      <c r="M496">
        <v>0.21641199999999999</v>
      </c>
      <c r="N496">
        <v>620</v>
      </c>
      <c r="O496">
        <v>4097</v>
      </c>
      <c r="P496">
        <v>4717</v>
      </c>
      <c r="Q496" t="str">
        <f>IF(BikeData[[#This Row],[casual]]+BikeData[[#This Row],[registered]]=BikeData[[#This Row],[cnt]],"OK","Check")</f>
        <v>OK</v>
      </c>
      <c r="R496">
        <f>IF(BikeData[[#This Row],[yr]]=0,2011,2012)</f>
        <v>2012</v>
      </c>
      <c r="S496" t="str">
        <f>CHOOSE(BikeData[[#This Row],[season]],"Winter","Spring","Summer","Fall")</f>
        <v>Spring</v>
      </c>
      <c r="T496" t="str">
        <f>TEXT(DATE(2000,BikeData[[#This Row],[mnth]],1),"mmmm")</f>
        <v>May</v>
      </c>
      <c r="U496" t="str">
        <f>IF(BikeData[[#This Row],[workingday]]=1,"Working Day","Non-working Day")</f>
        <v>Working Day</v>
      </c>
      <c r="V496" t="str">
        <f>CHOOSE(BikeData[[#This Row],[weekday]]+1,"Sunday","Monday","Tuesday","Wednesday","Thursday","Friday","Saturday")</f>
        <v>Wednesday</v>
      </c>
      <c r="W496" t="str">
        <f>CHOOSE(BikeData[[#This Row],[weathersit]],"Clear / Few Clouds","Mist / Cloudy","Light Rain / Snow","Heavy Rain / Snow")</f>
        <v>Mist / Cloudy</v>
      </c>
    </row>
    <row r="497" spans="1:23" x14ac:dyDescent="0.3">
      <c r="A497">
        <v>496</v>
      </c>
      <c r="B497" s="1">
        <v>41039</v>
      </c>
      <c r="C497">
        <v>2</v>
      </c>
      <c r="D497">
        <v>1</v>
      </c>
      <c r="E497">
        <v>5</v>
      </c>
      <c r="F497">
        <v>0</v>
      </c>
      <c r="G497">
        <v>4</v>
      </c>
      <c r="H497">
        <v>1</v>
      </c>
      <c r="I497">
        <v>1</v>
      </c>
      <c r="J497">
        <v>0.50583299999999998</v>
      </c>
      <c r="K497">
        <v>0.49178300000000003</v>
      </c>
      <c r="L497">
        <v>0.55208299999999999</v>
      </c>
      <c r="M497">
        <v>0.31406299999999998</v>
      </c>
      <c r="N497">
        <v>1026</v>
      </c>
      <c r="O497">
        <v>5546</v>
      </c>
      <c r="P497">
        <v>6572</v>
      </c>
      <c r="Q497" t="str">
        <f>IF(BikeData[[#This Row],[casual]]+BikeData[[#This Row],[registered]]=BikeData[[#This Row],[cnt]],"OK","Check")</f>
        <v>OK</v>
      </c>
      <c r="R497">
        <f>IF(BikeData[[#This Row],[yr]]=0,2011,2012)</f>
        <v>2012</v>
      </c>
      <c r="S497" t="str">
        <f>CHOOSE(BikeData[[#This Row],[season]],"Winter","Spring","Summer","Fall")</f>
        <v>Spring</v>
      </c>
      <c r="T497" t="str">
        <f>TEXT(DATE(2000,BikeData[[#This Row],[mnth]],1),"mmmm")</f>
        <v>May</v>
      </c>
      <c r="U497" t="str">
        <f>IF(BikeData[[#This Row],[workingday]]=1,"Working Day","Non-working Day")</f>
        <v>Working Day</v>
      </c>
      <c r="V497" t="str">
        <f>CHOOSE(BikeData[[#This Row],[weekday]]+1,"Sunday","Monday","Tuesday","Wednesday","Thursday","Friday","Saturday")</f>
        <v>Thursday</v>
      </c>
      <c r="W497" t="str">
        <f>CHOOSE(BikeData[[#This Row],[weathersit]],"Clear / Few Clouds","Mist / Cloudy","Light Rain / Snow","Heavy Rain / Snow")</f>
        <v>Clear / Few Clouds</v>
      </c>
    </row>
    <row r="498" spans="1:23" x14ac:dyDescent="0.3">
      <c r="A498">
        <v>497</v>
      </c>
      <c r="B498" s="1">
        <v>41040</v>
      </c>
      <c r="C498">
        <v>2</v>
      </c>
      <c r="D498">
        <v>1</v>
      </c>
      <c r="E498">
        <v>5</v>
      </c>
      <c r="F498">
        <v>0</v>
      </c>
      <c r="G498">
        <v>5</v>
      </c>
      <c r="H498">
        <v>1</v>
      </c>
      <c r="I498">
        <v>1</v>
      </c>
      <c r="J498">
        <v>0.53333299999999995</v>
      </c>
      <c r="K498">
        <v>0.52083299999999999</v>
      </c>
      <c r="L498">
        <v>0.36041699999999999</v>
      </c>
      <c r="M498">
        <v>0.23693700000000001</v>
      </c>
      <c r="N498">
        <v>1319</v>
      </c>
      <c r="O498">
        <v>5711</v>
      </c>
      <c r="P498">
        <v>7030</v>
      </c>
      <c r="Q498" t="str">
        <f>IF(BikeData[[#This Row],[casual]]+BikeData[[#This Row],[registered]]=BikeData[[#This Row],[cnt]],"OK","Check")</f>
        <v>OK</v>
      </c>
      <c r="R498">
        <f>IF(BikeData[[#This Row],[yr]]=0,2011,2012)</f>
        <v>2012</v>
      </c>
      <c r="S498" t="str">
        <f>CHOOSE(BikeData[[#This Row],[season]],"Winter","Spring","Summer","Fall")</f>
        <v>Spring</v>
      </c>
      <c r="T498" t="str">
        <f>TEXT(DATE(2000,BikeData[[#This Row],[mnth]],1),"mmmm")</f>
        <v>May</v>
      </c>
      <c r="U498" t="str">
        <f>IF(BikeData[[#This Row],[workingday]]=1,"Working Day","Non-working Day")</f>
        <v>Working Day</v>
      </c>
      <c r="V498" t="str">
        <f>CHOOSE(BikeData[[#This Row],[weekday]]+1,"Sunday","Monday","Tuesday","Wednesday","Thursday","Friday","Saturday")</f>
        <v>Friday</v>
      </c>
      <c r="W498" t="str">
        <f>CHOOSE(BikeData[[#This Row],[weathersit]],"Clear / Few Clouds","Mist / Cloudy","Light Rain / Snow","Heavy Rain / Snow")</f>
        <v>Clear / Few Clouds</v>
      </c>
    </row>
    <row r="499" spans="1:23" x14ac:dyDescent="0.3">
      <c r="A499">
        <v>498</v>
      </c>
      <c r="B499" s="1">
        <v>41041</v>
      </c>
      <c r="C499">
        <v>2</v>
      </c>
      <c r="D499">
        <v>1</v>
      </c>
      <c r="E499">
        <v>5</v>
      </c>
      <c r="F499">
        <v>0</v>
      </c>
      <c r="G499">
        <v>6</v>
      </c>
      <c r="H499">
        <v>0</v>
      </c>
      <c r="I499">
        <v>1</v>
      </c>
      <c r="J499">
        <v>0.56416699999999997</v>
      </c>
      <c r="K499">
        <v>0.544817</v>
      </c>
      <c r="L499">
        <v>0.48041699999999998</v>
      </c>
      <c r="M499">
        <v>0.12313300000000001</v>
      </c>
      <c r="N499">
        <v>2622</v>
      </c>
      <c r="O499">
        <v>4807</v>
      </c>
      <c r="P499">
        <v>7429</v>
      </c>
      <c r="Q499" t="str">
        <f>IF(BikeData[[#This Row],[casual]]+BikeData[[#This Row],[registered]]=BikeData[[#This Row],[cnt]],"OK","Check")</f>
        <v>OK</v>
      </c>
      <c r="R499">
        <f>IF(BikeData[[#This Row],[yr]]=0,2011,2012)</f>
        <v>2012</v>
      </c>
      <c r="S499" t="str">
        <f>CHOOSE(BikeData[[#This Row],[season]],"Winter","Spring","Summer","Fall")</f>
        <v>Spring</v>
      </c>
      <c r="T499" t="str">
        <f>TEXT(DATE(2000,BikeData[[#This Row],[mnth]],1),"mmmm")</f>
        <v>May</v>
      </c>
      <c r="U499" t="str">
        <f>IF(BikeData[[#This Row],[workingday]]=1,"Working Day","Non-working Day")</f>
        <v>Non-working Day</v>
      </c>
      <c r="V499" t="str">
        <f>CHOOSE(BikeData[[#This Row],[weekday]]+1,"Sunday","Monday","Tuesday","Wednesday","Thursday","Friday","Saturday")</f>
        <v>Saturday</v>
      </c>
      <c r="W499" t="str">
        <f>CHOOSE(BikeData[[#This Row],[weathersit]],"Clear / Few Clouds","Mist / Cloudy","Light Rain / Snow","Heavy Rain / Snow")</f>
        <v>Clear / Few Clouds</v>
      </c>
    </row>
    <row r="500" spans="1:23" x14ac:dyDescent="0.3">
      <c r="A500">
        <v>499</v>
      </c>
      <c r="B500" s="1">
        <v>41042</v>
      </c>
      <c r="C500">
        <v>2</v>
      </c>
      <c r="D500">
        <v>1</v>
      </c>
      <c r="E500">
        <v>5</v>
      </c>
      <c r="F500">
        <v>0</v>
      </c>
      <c r="G500">
        <v>0</v>
      </c>
      <c r="H500">
        <v>0</v>
      </c>
      <c r="I500">
        <v>1</v>
      </c>
      <c r="J500">
        <v>0.61250000000000004</v>
      </c>
      <c r="K500">
        <v>0.58523800000000004</v>
      </c>
      <c r="L500">
        <v>0.57625000000000004</v>
      </c>
      <c r="M500">
        <v>0.22511700000000001</v>
      </c>
      <c r="N500">
        <v>2172</v>
      </c>
      <c r="O500">
        <v>3946</v>
      </c>
      <c r="P500">
        <v>6118</v>
      </c>
      <c r="Q500" t="str">
        <f>IF(BikeData[[#This Row],[casual]]+BikeData[[#This Row],[registered]]=BikeData[[#This Row],[cnt]],"OK","Check")</f>
        <v>OK</v>
      </c>
      <c r="R500">
        <f>IF(BikeData[[#This Row],[yr]]=0,2011,2012)</f>
        <v>2012</v>
      </c>
      <c r="S500" t="str">
        <f>CHOOSE(BikeData[[#This Row],[season]],"Winter","Spring","Summer","Fall")</f>
        <v>Spring</v>
      </c>
      <c r="T500" t="str">
        <f>TEXT(DATE(2000,BikeData[[#This Row],[mnth]],1),"mmmm")</f>
        <v>May</v>
      </c>
      <c r="U500" t="str">
        <f>IF(BikeData[[#This Row],[workingday]]=1,"Working Day","Non-working Day")</f>
        <v>Non-working Day</v>
      </c>
      <c r="V500" t="str">
        <f>CHOOSE(BikeData[[#This Row],[weekday]]+1,"Sunday","Monday","Tuesday","Wednesday","Thursday","Friday","Saturday")</f>
        <v>Sunday</v>
      </c>
      <c r="W500" t="str">
        <f>CHOOSE(BikeData[[#This Row],[weathersit]],"Clear / Few Clouds","Mist / Cloudy","Light Rain / Snow","Heavy Rain / Snow")</f>
        <v>Clear / Few Clouds</v>
      </c>
    </row>
    <row r="501" spans="1:23" x14ac:dyDescent="0.3">
      <c r="A501">
        <v>500</v>
      </c>
      <c r="B501" s="1">
        <v>41043</v>
      </c>
      <c r="C501">
        <v>2</v>
      </c>
      <c r="D501">
        <v>1</v>
      </c>
      <c r="E501">
        <v>5</v>
      </c>
      <c r="F501">
        <v>0</v>
      </c>
      <c r="G501">
        <v>1</v>
      </c>
      <c r="H501">
        <v>1</v>
      </c>
      <c r="I501">
        <v>2</v>
      </c>
      <c r="J501">
        <v>0.57333299999999998</v>
      </c>
      <c r="K501">
        <v>0.54990000000000006</v>
      </c>
      <c r="L501">
        <v>0.78958300000000003</v>
      </c>
      <c r="M501">
        <v>0.21269199999999999</v>
      </c>
      <c r="N501">
        <v>342</v>
      </c>
      <c r="O501">
        <v>2501</v>
      </c>
      <c r="P501">
        <v>2843</v>
      </c>
      <c r="Q501" t="str">
        <f>IF(BikeData[[#This Row],[casual]]+BikeData[[#This Row],[registered]]=BikeData[[#This Row],[cnt]],"OK","Check")</f>
        <v>OK</v>
      </c>
      <c r="R501">
        <f>IF(BikeData[[#This Row],[yr]]=0,2011,2012)</f>
        <v>2012</v>
      </c>
      <c r="S501" t="str">
        <f>CHOOSE(BikeData[[#This Row],[season]],"Winter","Spring","Summer","Fall")</f>
        <v>Spring</v>
      </c>
      <c r="T501" t="str">
        <f>TEXT(DATE(2000,BikeData[[#This Row],[mnth]],1),"mmmm")</f>
        <v>May</v>
      </c>
      <c r="U501" t="str">
        <f>IF(BikeData[[#This Row],[workingday]]=1,"Working Day","Non-working Day")</f>
        <v>Working Day</v>
      </c>
      <c r="V501" t="str">
        <f>CHOOSE(BikeData[[#This Row],[weekday]]+1,"Sunday","Monday","Tuesday","Wednesday","Thursday","Friday","Saturday")</f>
        <v>Monday</v>
      </c>
      <c r="W501" t="str">
        <f>CHOOSE(BikeData[[#This Row],[weathersit]],"Clear / Few Clouds","Mist / Cloudy","Light Rain / Snow","Heavy Rain / Snow")</f>
        <v>Mist / Cloudy</v>
      </c>
    </row>
    <row r="502" spans="1:23" x14ac:dyDescent="0.3">
      <c r="A502">
        <v>501</v>
      </c>
      <c r="B502" s="1">
        <v>41044</v>
      </c>
      <c r="C502">
        <v>2</v>
      </c>
      <c r="D502">
        <v>1</v>
      </c>
      <c r="E502">
        <v>5</v>
      </c>
      <c r="F502">
        <v>0</v>
      </c>
      <c r="G502">
        <v>2</v>
      </c>
      <c r="H502">
        <v>1</v>
      </c>
      <c r="I502">
        <v>2</v>
      </c>
      <c r="J502">
        <v>0.61166699999999996</v>
      </c>
      <c r="K502">
        <v>0.57640400000000003</v>
      </c>
      <c r="L502">
        <v>0.79458300000000004</v>
      </c>
      <c r="M502">
        <v>0.147392</v>
      </c>
      <c r="N502">
        <v>625</v>
      </c>
      <c r="O502">
        <v>4490</v>
      </c>
      <c r="P502">
        <v>5115</v>
      </c>
      <c r="Q502" t="str">
        <f>IF(BikeData[[#This Row],[casual]]+BikeData[[#This Row],[registered]]=BikeData[[#This Row],[cnt]],"OK","Check")</f>
        <v>OK</v>
      </c>
      <c r="R502">
        <f>IF(BikeData[[#This Row],[yr]]=0,2011,2012)</f>
        <v>2012</v>
      </c>
      <c r="S502" t="str">
        <f>CHOOSE(BikeData[[#This Row],[season]],"Winter","Spring","Summer","Fall")</f>
        <v>Spring</v>
      </c>
      <c r="T502" t="str">
        <f>TEXT(DATE(2000,BikeData[[#This Row],[mnth]],1),"mmmm")</f>
        <v>May</v>
      </c>
      <c r="U502" t="str">
        <f>IF(BikeData[[#This Row],[workingday]]=1,"Working Day","Non-working Day")</f>
        <v>Working Day</v>
      </c>
      <c r="V502" t="str">
        <f>CHOOSE(BikeData[[#This Row],[weekday]]+1,"Sunday","Monday","Tuesday","Wednesday","Thursday","Friday","Saturday")</f>
        <v>Tuesday</v>
      </c>
      <c r="W502" t="str">
        <f>CHOOSE(BikeData[[#This Row],[weathersit]],"Clear / Few Clouds","Mist / Cloudy","Light Rain / Snow","Heavy Rain / Snow")</f>
        <v>Mist / Cloudy</v>
      </c>
    </row>
    <row r="503" spans="1:23" x14ac:dyDescent="0.3">
      <c r="A503">
        <v>502</v>
      </c>
      <c r="B503" s="1">
        <v>41045</v>
      </c>
      <c r="C503">
        <v>2</v>
      </c>
      <c r="D503">
        <v>1</v>
      </c>
      <c r="E503">
        <v>5</v>
      </c>
      <c r="F503">
        <v>0</v>
      </c>
      <c r="G503">
        <v>3</v>
      </c>
      <c r="H503">
        <v>1</v>
      </c>
      <c r="I503">
        <v>1</v>
      </c>
      <c r="J503">
        <v>0.63666699999999998</v>
      </c>
      <c r="K503">
        <v>0.59597500000000003</v>
      </c>
      <c r="L503">
        <v>0.69791700000000001</v>
      </c>
      <c r="M503">
        <v>0.122512</v>
      </c>
      <c r="N503">
        <v>991</v>
      </c>
      <c r="O503">
        <v>6433</v>
      </c>
      <c r="P503">
        <v>7424</v>
      </c>
      <c r="Q503" t="str">
        <f>IF(BikeData[[#This Row],[casual]]+BikeData[[#This Row],[registered]]=BikeData[[#This Row],[cnt]],"OK","Check")</f>
        <v>OK</v>
      </c>
      <c r="R503">
        <f>IF(BikeData[[#This Row],[yr]]=0,2011,2012)</f>
        <v>2012</v>
      </c>
      <c r="S503" t="str">
        <f>CHOOSE(BikeData[[#This Row],[season]],"Winter","Spring","Summer","Fall")</f>
        <v>Spring</v>
      </c>
      <c r="T503" t="str">
        <f>TEXT(DATE(2000,BikeData[[#This Row],[mnth]],1),"mmmm")</f>
        <v>May</v>
      </c>
      <c r="U503" t="str">
        <f>IF(BikeData[[#This Row],[workingday]]=1,"Working Day","Non-working Day")</f>
        <v>Working Day</v>
      </c>
      <c r="V503" t="str">
        <f>CHOOSE(BikeData[[#This Row],[weekday]]+1,"Sunday","Monday","Tuesday","Wednesday","Thursday","Friday","Saturday")</f>
        <v>Wednesday</v>
      </c>
      <c r="W503" t="str">
        <f>CHOOSE(BikeData[[#This Row],[weathersit]],"Clear / Few Clouds","Mist / Cloudy","Light Rain / Snow","Heavy Rain / Snow")</f>
        <v>Clear / Few Clouds</v>
      </c>
    </row>
    <row r="504" spans="1:23" x14ac:dyDescent="0.3">
      <c r="A504">
        <v>503</v>
      </c>
      <c r="B504" s="1">
        <v>41046</v>
      </c>
      <c r="C504">
        <v>2</v>
      </c>
      <c r="D504">
        <v>1</v>
      </c>
      <c r="E504">
        <v>5</v>
      </c>
      <c r="F504">
        <v>0</v>
      </c>
      <c r="G504">
        <v>4</v>
      </c>
      <c r="H504">
        <v>1</v>
      </c>
      <c r="I504">
        <v>1</v>
      </c>
      <c r="J504">
        <v>0.593333</v>
      </c>
      <c r="K504">
        <v>0.57261300000000004</v>
      </c>
      <c r="L504">
        <v>0.52</v>
      </c>
      <c r="M504">
        <v>0.22947500000000001</v>
      </c>
      <c r="N504">
        <v>1242</v>
      </c>
      <c r="O504">
        <v>6142</v>
      </c>
      <c r="P504">
        <v>7384</v>
      </c>
      <c r="Q504" t="str">
        <f>IF(BikeData[[#This Row],[casual]]+BikeData[[#This Row],[registered]]=BikeData[[#This Row],[cnt]],"OK","Check")</f>
        <v>OK</v>
      </c>
      <c r="R504">
        <f>IF(BikeData[[#This Row],[yr]]=0,2011,2012)</f>
        <v>2012</v>
      </c>
      <c r="S504" t="str">
        <f>CHOOSE(BikeData[[#This Row],[season]],"Winter","Spring","Summer","Fall")</f>
        <v>Spring</v>
      </c>
      <c r="T504" t="str">
        <f>TEXT(DATE(2000,BikeData[[#This Row],[mnth]],1),"mmmm")</f>
        <v>May</v>
      </c>
      <c r="U504" t="str">
        <f>IF(BikeData[[#This Row],[workingday]]=1,"Working Day","Non-working Day")</f>
        <v>Working Day</v>
      </c>
      <c r="V504" t="str">
        <f>CHOOSE(BikeData[[#This Row],[weekday]]+1,"Sunday","Monday","Tuesday","Wednesday","Thursday","Friday","Saturday")</f>
        <v>Thursday</v>
      </c>
      <c r="W504" t="str">
        <f>CHOOSE(BikeData[[#This Row],[weathersit]],"Clear / Few Clouds","Mist / Cloudy","Light Rain / Snow","Heavy Rain / Snow")</f>
        <v>Clear / Few Clouds</v>
      </c>
    </row>
    <row r="505" spans="1:23" x14ac:dyDescent="0.3">
      <c r="A505">
        <v>504</v>
      </c>
      <c r="B505" s="1">
        <v>41047</v>
      </c>
      <c r="C505">
        <v>2</v>
      </c>
      <c r="D505">
        <v>1</v>
      </c>
      <c r="E505">
        <v>5</v>
      </c>
      <c r="F505">
        <v>0</v>
      </c>
      <c r="G505">
        <v>5</v>
      </c>
      <c r="H505">
        <v>1</v>
      </c>
      <c r="I505">
        <v>1</v>
      </c>
      <c r="J505">
        <v>0.56416699999999997</v>
      </c>
      <c r="K505">
        <v>0.55112099999999997</v>
      </c>
      <c r="L505">
        <v>0.52333300000000005</v>
      </c>
      <c r="M505">
        <v>0.13681699999999999</v>
      </c>
      <c r="N505">
        <v>1521</v>
      </c>
      <c r="O505">
        <v>6118</v>
      </c>
      <c r="P505">
        <v>7639</v>
      </c>
      <c r="Q505" t="str">
        <f>IF(BikeData[[#This Row],[casual]]+BikeData[[#This Row],[registered]]=BikeData[[#This Row],[cnt]],"OK","Check")</f>
        <v>OK</v>
      </c>
      <c r="R505">
        <f>IF(BikeData[[#This Row],[yr]]=0,2011,2012)</f>
        <v>2012</v>
      </c>
      <c r="S505" t="str">
        <f>CHOOSE(BikeData[[#This Row],[season]],"Winter","Spring","Summer","Fall")</f>
        <v>Spring</v>
      </c>
      <c r="T505" t="str">
        <f>TEXT(DATE(2000,BikeData[[#This Row],[mnth]],1),"mmmm")</f>
        <v>May</v>
      </c>
      <c r="U505" t="str">
        <f>IF(BikeData[[#This Row],[workingday]]=1,"Working Day","Non-working Day")</f>
        <v>Working Day</v>
      </c>
      <c r="V505" t="str">
        <f>CHOOSE(BikeData[[#This Row],[weekday]]+1,"Sunday","Monday","Tuesday","Wednesday","Thursday","Friday","Saturday")</f>
        <v>Friday</v>
      </c>
      <c r="W505" t="str">
        <f>CHOOSE(BikeData[[#This Row],[weathersit]],"Clear / Few Clouds","Mist / Cloudy","Light Rain / Snow","Heavy Rain / Snow")</f>
        <v>Clear / Few Clouds</v>
      </c>
    </row>
    <row r="506" spans="1:23" x14ac:dyDescent="0.3">
      <c r="A506">
        <v>505</v>
      </c>
      <c r="B506" s="1">
        <v>41048</v>
      </c>
      <c r="C506">
        <v>2</v>
      </c>
      <c r="D506">
        <v>1</v>
      </c>
      <c r="E506">
        <v>5</v>
      </c>
      <c r="F506">
        <v>0</v>
      </c>
      <c r="G506">
        <v>6</v>
      </c>
      <c r="H506">
        <v>0</v>
      </c>
      <c r="I506">
        <v>1</v>
      </c>
      <c r="J506">
        <v>0.6</v>
      </c>
      <c r="K506">
        <v>0.56690799999999997</v>
      </c>
      <c r="L506">
        <v>0.45624999999999999</v>
      </c>
      <c r="M506">
        <v>8.3974999999999994E-2</v>
      </c>
      <c r="N506">
        <v>3410</v>
      </c>
      <c r="O506">
        <v>4884</v>
      </c>
      <c r="P506">
        <v>8294</v>
      </c>
      <c r="Q506" t="str">
        <f>IF(BikeData[[#This Row],[casual]]+BikeData[[#This Row],[registered]]=BikeData[[#This Row],[cnt]],"OK","Check")</f>
        <v>OK</v>
      </c>
      <c r="R506">
        <f>IF(BikeData[[#This Row],[yr]]=0,2011,2012)</f>
        <v>2012</v>
      </c>
      <c r="S506" t="str">
        <f>CHOOSE(BikeData[[#This Row],[season]],"Winter","Spring","Summer","Fall")</f>
        <v>Spring</v>
      </c>
      <c r="T506" t="str">
        <f>TEXT(DATE(2000,BikeData[[#This Row],[mnth]],1),"mmmm")</f>
        <v>May</v>
      </c>
      <c r="U506" t="str">
        <f>IF(BikeData[[#This Row],[workingday]]=1,"Working Day","Non-working Day")</f>
        <v>Non-working Day</v>
      </c>
      <c r="V506" t="str">
        <f>CHOOSE(BikeData[[#This Row],[weekday]]+1,"Sunday","Monday","Tuesday","Wednesday","Thursday","Friday","Saturday")</f>
        <v>Saturday</v>
      </c>
      <c r="W506" t="str">
        <f>CHOOSE(BikeData[[#This Row],[weathersit]],"Clear / Few Clouds","Mist / Cloudy","Light Rain / Snow","Heavy Rain / Snow")</f>
        <v>Clear / Few Clouds</v>
      </c>
    </row>
    <row r="507" spans="1:23" x14ac:dyDescent="0.3">
      <c r="A507">
        <v>506</v>
      </c>
      <c r="B507" s="1">
        <v>41049</v>
      </c>
      <c r="C507">
        <v>2</v>
      </c>
      <c r="D507">
        <v>1</v>
      </c>
      <c r="E507">
        <v>5</v>
      </c>
      <c r="F507">
        <v>0</v>
      </c>
      <c r="G507">
        <v>0</v>
      </c>
      <c r="H507">
        <v>0</v>
      </c>
      <c r="I507">
        <v>1</v>
      </c>
      <c r="J507">
        <v>0.62083299999999997</v>
      </c>
      <c r="K507">
        <v>0.58396700000000001</v>
      </c>
      <c r="L507">
        <v>0.53041700000000003</v>
      </c>
      <c r="M507">
        <v>0.25436700000000001</v>
      </c>
      <c r="N507">
        <v>2704</v>
      </c>
      <c r="O507">
        <v>4425</v>
      </c>
      <c r="P507">
        <v>7129</v>
      </c>
      <c r="Q507" t="str">
        <f>IF(BikeData[[#This Row],[casual]]+BikeData[[#This Row],[registered]]=BikeData[[#This Row],[cnt]],"OK","Check")</f>
        <v>OK</v>
      </c>
      <c r="R507">
        <f>IF(BikeData[[#This Row],[yr]]=0,2011,2012)</f>
        <v>2012</v>
      </c>
      <c r="S507" t="str">
        <f>CHOOSE(BikeData[[#This Row],[season]],"Winter","Spring","Summer","Fall")</f>
        <v>Spring</v>
      </c>
      <c r="T507" t="str">
        <f>TEXT(DATE(2000,BikeData[[#This Row],[mnth]],1),"mmmm")</f>
        <v>May</v>
      </c>
      <c r="U507" t="str">
        <f>IF(BikeData[[#This Row],[workingday]]=1,"Working Day","Non-working Day")</f>
        <v>Non-working Day</v>
      </c>
      <c r="V507" t="str">
        <f>CHOOSE(BikeData[[#This Row],[weekday]]+1,"Sunday","Monday","Tuesday","Wednesday","Thursday","Friday","Saturday")</f>
        <v>Sunday</v>
      </c>
      <c r="W507" t="str">
        <f>CHOOSE(BikeData[[#This Row],[weathersit]],"Clear / Few Clouds","Mist / Cloudy","Light Rain / Snow","Heavy Rain / Snow")</f>
        <v>Clear / Few Clouds</v>
      </c>
    </row>
    <row r="508" spans="1:23" x14ac:dyDescent="0.3">
      <c r="A508">
        <v>507</v>
      </c>
      <c r="B508" s="1">
        <v>41050</v>
      </c>
      <c r="C508">
        <v>2</v>
      </c>
      <c r="D508">
        <v>1</v>
      </c>
      <c r="E508">
        <v>5</v>
      </c>
      <c r="F508">
        <v>0</v>
      </c>
      <c r="G508">
        <v>1</v>
      </c>
      <c r="H508">
        <v>1</v>
      </c>
      <c r="I508">
        <v>2</v>
      </c>
      <c r="J508">
        <v>0.598333</v>
      </c>
      <c r="K508">
        <v>0.56566700000000003</v>
      </c>
      <c r="L508">
        <v>0.81125000000000003</v>
      </c>
      <c r="M508">
        <v>0.23320399999999999</v>
      </c>
      <c r="N508">
        <v>630</v>
      </c>
      <c r="O508">
        <v>3729</v>
      </c>
      <c r="P508">
        <v>4359</v>
      </c>
      <c r="Q508" t="str">
        <f>IF(BikeData[[#This Row],[casual]]+BikeData[[#This Row],[registered]]=BikeData[[#This Row],[cnt]],"OK","Check")</f>
        <v>OK</v>
      </c>
      <c r="R508">
        <f>IF(BikeData[[#This Row],[yr]]=0,2011,2012)</f>
        <v>2012</v>
      </c>
      <c r="S508" t="str">
        <f>CHOOSE(BikeData[[#This Row],[season]],"Winter","Spring","Summer","Fall")</f>
        <v>Spring</v>
      </c>
      <c r="T508" t="str">
        <f>TEXT(DATE(2000,BikeData[[#This Row],[mnth]],1),"mmmm")</f>
        <v>May</v>
      </c>
      <c r="U508" t="str">
        <f>IF(BikeData[[#This Row],[workingday]]=1,"Working Day","Non-working Day")</f>
        <v>Working Day</v>
      </c>
      <c r="V508" t="str">
        <f>CHOOSE(BikeData[[#This Row],[weekday]]+1,"Sunday","Monday","Tuesday","Wednesday","Thursday","Friday","Saturday")</f>
        <v>Monday</v>
      </c>
      <c r="W508" t="str">
        <f>CHOOSE(BikeData[[#This Row],[weathersit]],"Clear / Few Clouds","Mist / Cloudy","Light Rain / Snow","Heavy Rain / Snow")</f>
        <v>Mist / Cloudy</v>
      </c>
    </row>
    <row r="509" spans="1:23" x14ac:dyDescent="0.3">
      <c r="A509">
        <v>508</v>
      </c>
      <c r="B509" s="1">
        <v>41051</v>
      </c>
      <c r="C509">
        <v>2</v>
      </c>
      <c r="D509">
        <v>1</v>
      </c>
      <c r="E509">
        <v>5</v>
      </c>
      <c r="F509">
        <v>0</v>
      </c>
      <c r="G509">
        <v>2</v>
      </c>
      <c r="H509">
        <v>1</v>
      </c>
      <c r="I509">
        <v>2</v>
      </c>
      <c r="J509">
        <v>0.61499999999999999</v>
      </c>
      <c r="K509">
        <v>0.58082500000000004</v>
      </c>
      <c r="L509">
        <v>0.76583299999999999</v>
      </c>
      <c r="M509">
        <v>0.11816699999999999</v>
      </c>
      <c r="N509">
        <v>819</v>
      </c>
      <c r="O509">
        <v>5254</v>
      </c>
      <c r="P509">
        <v>6073</v>
      </c>
      <c r="Q509" t="str">
        <f>IF(BikeData[[#This Row],[casual]]+BikeData[[#This Row],[registered]]=BikeData[[#This Row],[cnt]],"OK","Check")</f>
        <v>OK</v>
      </c>
      <c r="R509">
        <f>IF(BikeData[[#This Row],[yr]]=0,2011,2012)</f>
        <v>2012</v>
      </c>
      <c r="S509" t="str">
        <f>CHOOSE(BikeData[[#This Row],[season]],"Winter","Spring","Summer","Fall")</f>
        <v>Spring</v>
      </c>
      <c r="T509" t="str">
        <f>TEXT(DATE(2000,BikeData[[#This Row],[mnth]],1),"mmmm")</f>
        <v>May</v>
      </c>
      <c r="U509" t="str">
        <f>IF(BikeData[[#This Row],[workingday]]=1,"Working Day","Non-working Day")</f>
        <v>Working Day</v>
      </c>
      <c r="V509" t="str">
        <f>CHOOSE(BikeData[[#This Row],[weekday]]+1,"Sunday","Monday","Tuesday","Wednesday","Thursday","Friday","Saturday")</f>
        <v>Tuesday</v>
      </c>
      <c r="W509" t="str">
        <f>CHOOSE(BikeData[[#This Row],[weathersit]],"Clear / Few Clouds","Mist / Cloudy","Light Rain / Snow","Heavy Rain / Snow")</f>
        <v>Mist / Cloudy</v>
      </c>
    </row>
    <row r="510" spans="1:23" x14ac:dyDescent="0.3">
      <c r="A510">
        <v>509</v>
      </c>
      <c r="B510" s="1">
        <v>41052</v>
      </c>
      <c r="C510">
        <v>2</v>
      </c>
      <c r="D510">
        <v>1</v>
      </c>
      <c r="E510">
        <v>5</v>
      </c>
      <c r="F510">
        <v>0</v>
      </c>
      <c r="G510">
        <v>3</v>
      </c>
      <c r="H510">
        <v>1</v>
      </c>
      <c r="I510">
        <v>2</v>
      </c>
      <c r="J510">
        <v>0.62166699999999997</v>
      </c>
      <c r="K510">
        <v>0.58461200000000002</v>
      </c>
      <c r="L510">
        <v>0.77458300000000002</v>
      </c>
      <c r="M510">
        <v>0.10199999999999999</v>
      </c>
      <c r="N510">
        <v>766</v>
      </c>
      <c r="O510">
        <v>4494</v>
      </c>
      <c r="P510">
        <v>5260</v>
      </c>
      <c r="Q510" t="str">
        <f>IF(BikeData[[#This Row],[casual]]+BikeData[[#This Row],[registered]]=BikeData[[#This Row],[cnt]],"OK","Check")</f>
        <v>OK</v>
      </c>
      <c r="R510">
        <f>IF(BikeData[[#This Row],[yr]]=0,2011,2012)</f>
        <v>2012</v>
      </c>
      <c r="S510" t="str">
        <f>CHOOSE(BikeData[[#This Row],[season]],"Winter","Spring","Summer","Fall")</f>
        <v>Spring</v>
      </c>
      <c r="T510" t="str">
        <f>TEXT(DATE(2000,BikeData[[#This Row],[mnth]],1),"mmmm")</f>
        <v>May</v>
      </c>
      <c r="U510" t="str">
        <f>IF(BikeData[[#This Row],[workingday]]=1,"Working Day","Non-working Day")</f>
        <v>Working Day</v>
      </c>
      <c r="V510" t="str">
        <f>CHOOSE(BikeData[[#This Row],[weekday]]+1,"Sunday","Monday","Tuesday","Wednesday","Thursday","Friday","Saturday")</f>
        <v>Wednesday</v>
      </c>
      <c r="W510" t="str">
        <f>CHOOSE(BikeData[[#This Row],[weathersit]],"Clear / Few Clouds","Mist / Cloudy","Light Rain / Snow","Heavy Rain / Snow")</f>
        <v>Mist / Cloudy</v>
      </c>
    </row>
    <row r="511" spans="1:23" x14ac:dyDescent="0.3">
      <c r="A511">
        <v>510</v>
      </c>
      <c r="B511" s="1">
        <v>41053</v>
      </c>
      <c r="C511">
        <v>2</v>
      </c>
      <c r="D511">
        <v>1</v>
      </c>
      <c r="E511">
        <v>5</v>
      </c>
      <c r="F511">
        <v>0</v>
      </c>
      <c r="G511">
        <v>4</v>
      </c>
      <c r="H511">
        <v>1</v>
      </c>
      <c r="I511">
        <v>1</v>
      </c>
      <c r="J511">
        <v>0.65500000000000003</v>
      </c>
      <c r="K511">
        <v>0.60670000000000002</v>
      </c>
      <c r="L511">
        <v>0.71666700000000005</v>
      </c>
      <c r="M511">
        <v>0.17289599999999999</v>
      </c>
      <c r="N511">
        <v>1059</v>
      </c>
      <c r="O511">
        <v>5711</v>
      </c>
      <c r="P511">
        <v>6770</v>
      </c>
      <c r="Q511" t="str">
        <f>IF(BikeData[[#This Row],[casual]]+BikeData[[#This Row],[registered]]=BikeData[[#This Row],[cnt]],"OK","Check")</f>
        <v>OK</v>
      </c>
      <c r="R511">
        <f>IF(BikeData[[#This Row],[yr]]=0,2011,2012)</f>
        <v>2012</v>
      </c>
      <c r="S511" t="str">
        <f>CHOOSE(BikeData[[#This Row],[season]],"Winter","Spring","Summer","Fall")</f>
        <v>Spring</v>
      </c>
      <c r="T511" t="str">
        <f>TEXT(DATE(2000,BikeData[[#This Row],[mnth]],1),"mmmm")</f>
        <v>May</v>
      </c>
      <c r="U511" t="str">
        <f>IF(BikeData[[#This Row],[workingday]]=1,"Working Day","Non-working Day")</f>
        <v>Working Day</v>
      </c>
      <c r="V511" t="str">
        <f>CHOOSE(BikeData[[#This Row],[weekday]]+1,"Sunday","Monday","Tuesday","Wednesday","Thursday","Friday","Saturday")</f>
        <v>Thursday</v>
      </c>
      <c r="W511" t="str">
        <f>CHOOSE(BikeData[[#This Row],[weathersit]],"Clear / Few Clouds","Mist / Cloudy","Light Rain / Snow","Heavy Rain / Snow")</f>
        <v>Clear / Few Clouds</v>
      </c>
    </row>
    <row r="512" spans="1:23" x14ac:dyDescent="0.3">
      <c r="A512">
        <v>511</v>
      </c>
      <c r="B512" s="1">
        <v>41054</v>
      </c>
      <c r="C512">
        <v>2</v>
      </c>
      <c r="D512">
        <v>1</v>
      </c>
      <c r="E512">
        <v>5</v>
      </c>
      <c r="F512">
        <v>0</v>
      </c>
      <c r="G512">
        <v>5</v>
      </c>
      <c r="H512">
        <v>1</v>
      </c>
      <c r="I512">
        <v>1</v>
      </c>
      <c r="J512">
        <v>0.68</v>
      </c>
      <c r="K512">
        <v>0.627529</v>
      </c>
      <c r="L512">
        <v>0.74708300000000005</v>
      </c>
      <c r="M512">
        <v>0.14055000000000001</v>
      </c>
      <c r="N512">
        <v>1417</v>
      </c>
      <c r="O512">
        <v>5317</v>
      </c>
      <c r="P512">
        <v>6734</v>
      </c>
      <c r="Q512" t="str">
        <f>IF(BikeData[[#This Row],[casual]]+BikeData[[#This Row],[registered]]=BikeData[[#This Row],[cnt]],"OK","Check")</f>
        <v>OK</v>
      </c>
      <c r="R512">
        <f>IF(BikeData[[#This Row],[yr]]=0,2011,2012)</f>
        <v>2012</v>
      </c>
      <c r="S512" t="str">
        <f>CHOOSE(BikeData[[#This Row],[season]],"Winter","Spring","Summer","Fall")</f>
        <v>Spring</v>
      </c>
      <c r="T512" t="str">
        <f>TEXT(DATE(2000,BikeData[[#This Row],[mnth]],1),"mmmm")</f>
        <v>May</v>
      </c>
      <c r="U512" t="str">
        <f>IF(BikeData[[#This Row],[workingday]]=1,"Working Day","Non-working Day")</f>
        <v>Working Day</v>
      </c>
      <c r="V512" t="str">
        <f>CHOOSE(BikeData[[#This Row],[weekday]]+1,"Sunday","Monday","Tuesday","Wednesday","Thursday","Friday","Saturday")</f>
        <v>Friday</v>
      </c>
      <c r="W512" t="str">
        <f>CHOOSE(BikeData[[#This Row],[weathersit]],"Clear / Few Clouds","Mist / Cloudy","Light Rain / Snow","Heavy Rain / Snow")</f>
        <v>Clear / Few Clouds</v>
      </c>
    </row>
    <row r="513" spans="1:23" x14ac:dyDescent="0.3">
      <c r="A513">
        <v>512</v>
      </c>
      <c r="B513" s="1">
        <v>41055</v>
      </c>
      <c r="C513">
        <v>2</v>
      </c>
      <c r="D513">
        <v>1</v>
      </c>
      <c r="E513">
        <v>5</v>
      </c>
      <c r="F513">
        <v>0</v>
      </c>
      <c r="G513">
        <v>6</v>
      </c>
      <c r="H513">
        <v>0</v>
      </c>
      <c r="I513">
        <v>1</v>
      </c>
      <c r="J513">
        <v>0.6925</v>
      </c>
      <c r="K513">
        <v>0.64269600000000005</v>
      </c>
      <c r="L513">
        <v>0.73250000000000004</v>
      </c>
      <c r="M513">
        <v>0.198992</v>
      </c>
      <c r="N513">
        <v>2855</v>
      </c>
      <c r="O513">
        <v>3681</v>
      </c>
      <c r="P513">
        <v>6536</v>
      </c>
      <c r="Q513" t="str">
        <f>IF(BikeData[[#This Row],[casual]]+BikeData[[#This Row],[registered]]=BikeData[[#This Row],[cnt]],"OK","Check")</f>
        <v>OK</v>
      </c>
      <c r="R513">
        <f>IF(BikeData[[#This Row],[yr]]=0,2011,2012)</f>
        <v>2012</v>
      </c>
      <c r="S513" t="str">
        <f>CHOOSE(BikeData[[#This Row],[season]],"Winter","Spring","Summer","Fall")</f>
        <v>Spring</v>
      </c>
      <c r="T513" t="str">
        <f>TEXT(DATE(2000,BikeData[[#This Row],[mnth]],1),"mmmm")</f>
        <v>May</v>
      </c>
      <c r="U513" t="str">
        <f>IF(BikeData[[#This Row],[workingday]]=1,"Working Day","Non-working Day")</f>
        <v>Non-working Day</v>
      </c>
      <c r="V513" t="str">
        <f>CHOOSE(BikeData[[#This Row],[weekday]]+1,"Sunday","Monday","Tuesday","Wednesday","Thursday","Friday","Saturday")</f>
        <v>Saturday</v>
      </c>
      <c r="W513" t="str">
        <f>CHOOSE(BikeData[[#This Row],[weathersit]],"Clear / Few Clouds","Mist / Cloudy","Light Rain / Snow","Heavy Rain / Snow")</f>
        <v>Clear / Few Clouds</v>
      </c>
    </row>
    <row r="514" spans="1:23" x14ac:dyDescent="0.3">
      <c r="A514">
        <v>513</v>
      </c>
      <c r="B514" s="1">
        <v>41056</v>
      </c>
      <c r="C514">
        <v>2</v>
      </c>
      <c r="D514">
        <v>1</v>
      </c>
      <c r="E514">
        <v>5</v>
      </c>
      <c r="F514">
        <v>0</v>
      </c>
      <c r="G514">
        <v>0</v>
      </c>
      <c r="H514">
        <v>0</v>
      </c>
      <c r="I514">
        <v>1</v>
      </c>
      <c r="J514">
        <v>0.69</v>
      </c>
      <c r="K514">
        <v>0.64142500000000002</v>
      </c>
      <c r="L514">
        <v>0.69708300000000001</v>
      </c>
      <c r="M514">
        <v>0.215171</v>
      </c>
      <c r="N514">
        <v>3283</v>
      </c>
      <c r="O514">
        <v>3308</v>
      </c>
      <c r="P514">
        <v>6591</v>
      </c>
      <c r="Q514" t="str">
        <f>IF(BikeData[[#This Row],[casual]]+BikeData[[#This Row],[registered]]=BikeData[[#This Row],[cnt]],"OK","Check")</f>
        <v>OK</v>
      </c>
      <c r="R514">
        <f>IF(BikeData[[#This Row],[yr]]=0,2011,2012)</f>
        <v>2012</v>
      </c>
      <c r="S514" t="str">
        <f>CHOOSE(BikeData[[#This Row],[season]],"Winter","Spring","Summer","Fall")</f>
        <v>Spring</v>
      </c>
      <c r="T514" t="str">
        <f>TEXT(DATE(2000,BikeData[[#This Row],[mnth]],1),"mmmm")</f>
        <v>May</v>
      </c>
      <c r="U514" t="str">
        <f>IF(BikeData[[#This Row],[workingday]]=1,"Working Day","Non-working Day")</f>
        <v>Non-working Day</v>
      </c>
      <c r="V514" t="str">
        <f>CHOOSE(BikeData[[#This Row],[weekday]]+1,"Sunday","Monday","Tuesday","Wednesday","Thursday","Friday","Saturday")</f>
        <v>Sunday</v>
      </c>
      <c r="W514" t="str">
        <f>CHOOSE(BikeData[[#This Row],[weathersit]],"Clear / Few Clouds","Mist / Cloudy","Light Rain / Snow","Heavy Rain / Snow")</f>
        <v>Clear / Few Clouds</v>
      </c>
    </row>
    <row r="515" spans="1:23" x14ac:dyDescent="0.3">
      <c r="A515">
        <v>514</v>
      </c>
      <c r="B515" s="1">
        <v>41057</v>
      </c>
      <c r="C515">
        <v>2</v>
      </c>
      <c r="D515">
        <v>1</v>
      </c>
      <c r="E515">
        <v>5</v>
      </c>
      <c r="F515">
        <v>1</v>
      </c>
      <c r="G515">
        <v>1</v>
      </c>
      <c r="H515">
        <v>0</v>
      </c>
      <c r="I515">
        <v>1</v>
      </c>
      <c r="J515">
        <v>0.71250000000000002</v>
      </c>
      <c r="K515">
        <v>0.67930000000000001</v>
      </c>
      <c r="L515">
        <v>0.67625000000000002</v>
      </c>
      <c r="M515">
        <v>0.196521</v>
      </c>
      <c r="N515">
        <v>2557</v>
      </c>
      <c r="O515">
        <v>3486</v>
      </c>
      <c r="P515">
        <v>6043</v>
      </c>
      <c r="Q515" t="str">
        <f>IF(BikeData[[#This Row],[casual]]+BikeData[[#This Row],[registered]]=BikeData[[#This Row],[cnt]],"OK","Check")</f>
        <v>OK</v>
      </c>
      <c r="R515">
        <f>IF(BikeData[[#This Row],[yr]]=0,2011,2012)</f>
        <v>2012</v>
      </c>
      <c r="S515" t="str">
        <f>CHOOSE(BikeData[[#This Row],[season]],"Winter","Spring","Summer","Fall")</f>
        <v>Spring</v>
      </c>
      <c r="T515" t="str">
        <f>TEXT(DATE(2000,BikeData[[#This Row],[mnth]],1),"mmmm")</f>
        <v>May</v>
      </c>
      <c r="U515" t="str">
        <f>IF(BikeData[[#This Row],[workingday]]=1,"Working Day","Non-working Day")</f>
        <v>Non-working Day</v>
      </c>
      <c r="V515" t="str">
        <f>CHOOSE(BikeData[[#This Row],[weekday]]+1,"Sunday","Monday","Tuesday","Wednesday","Thursday","Friday","Saturday")</f>
        <v>Monday</v>
      </c>
      <c r="W515" t="str">
        <f>CHOOSE(BikeData[[#This Row],[weathersit]],"Clear / Few Clouds","Mist / Cloudy","Light Rain / Snow","Heavy Rain / Snow")</f>
        <v>Clear / Few Clouds</v>
      </c>
    </row>
    <row r="516" spans="1:23" x14ac:dyDescent="0.3">
      <c r="A516">
        <v>515</v>
      </c>
      <c r="B516" s="1">
        <v>41058</v>
      </c>
      <c r="C516">
        <v>2</v>
      </c>
      <c r="D516">
        <v>1</v>
      </c>
      <c r="E516">
        <v>5</v>
      </c>
      <c r="F516">
        <v>0</v>
      </c>
      <c r="G516">
        <v>2</v>
      </c>
      <c r="H516">
        <v>1</v>
      </c>
      <c r="I516">
        <v>1</v>
      </c>
      <c r="J516">
        <v>0.72250000000000003</v>
      </c>
      <c r="K516">
        <v>0.67299200000000003</v>
      </c>
      <c r="L516">
        <v>0.68458300000000005</v>
      </c>
      <c r="M516">
        <v>0.2954</v>
      </c>
      <c r="N516">
        <v>880</v>
      </c>
      <c r="O516">
        <v>4863</v>
      </c>
      <c r="P516">
        <v>5743</v>
      </c>
      <c r="Q516" t="str">
        <f>IF(BikeData[[#This Row],[casual]]+BikeData[[#This Row],[registered]]=BikeData[[#This Row],[cnt]],"OK","Check")</f>
        <v>OK</v>
      </c>
      <c r="R516">
        <f>IF(BikeData[[#This Row],[yr]]=0,2011,2012)</f>
        <v>2012</v>
      </c>
      <c r="S516" t="str">
        <f>CHOOSE(BikeData[[#This Row],[season]],"Winter","Spring","Summer","Fall")</f>
        <v>Spring</v>
      </c>
      <c r="T516" t="str">
        <f>TEXT(DATE(2000,BikeData[[#This Row],[mnth]],1),"mmmm")</f>
        <v>May</v>
      </c>
      <c r="U516" t="str">
        <f>IF(BikeData[[#This Row],[workingday]]=1,"Working Day","Non-working Day")</f>
        <v>Working Day</v>
      </c>
      <c r="V516" t="str">
        <f>CHOOSE(BikeData[[#This Row],[weekday]]+1,"Sunday","Monday","Tuesday","Wednesday","Thursday","Friday","Saturday")</f>
        <v>Tuesday</v>
      </c>
      <c r="W516" t="str">
        <f>CHOOSE(BikeData[[#This Row],[weathersit]],"Clear / Few Clouds","Mist / Cloudy","Light Rain / Snow","Heavy Rain / Snow")</f>
        <v>Clear / Few Clouds</v>
      </c>
    </row>
    <row r="517" spans="1:23" x14ac:dyDescent="0.3">
      <c r="A517">
        <v>516</v>
      </c>
      <c r="B517" s="1">
        <v>41059</v>
      </c>
      <c r="C517">
        <v>2</v>
      </c>
      <c r="D517">
        <v>1</v>
      </c>
      <c r="E517">
        <v>5</v>
      </c>
      <c r="F517">
        <v>0</v>
      </c>
      <c r="G517">
        <v>3</v>
      </c>
      <c r="H517">
        <v>1</v>
      </c>
      <c r="I517">
        <v>2</v>
      </c>
      <c r="J517">
        <v>0.656667</v>
      </c>
      <c r="K517">
        <v>0.61112900000000003</v>
      </c>
      <c r="L517">
        <v>0.67</v>
      </c>
      <c r="M517">
        <v>0.134329</v>
      </c>
      <c r="N517">
        <v>745</v>
      </c>
      <c r="O517">
        <v>6110</v>
      </c>
      <c r="P517">
        <v>6855</v>
      </c>
      <c r="Q517" t="str">
        <f>IF(BikeData[[#This Row],[casual]]+BikeData[[#This Row],[registered]]=BikeData[[#This Row],[cnt]],"OK","Check")</f>
        <v>OK</v>
      </c>
      <c r="R517">
        <f>IF(BikeData[[#This Row],[yr]]=0,2011,2012)</f>
        <v>2012</v>
      </c>
      <c r="S517" t="str">
        <f>CHOOSE(BikeData[[#This Row],[season]],"Winter","Spring","Summer","Fall")</f>
        <v>Spring</v>
      </c>
      <c r="T517" t="str">
        <f>TEXT(DATE(2000,BikeData[[#This Row],[mnth]],1),"mmmm")</f>
        <v>May</v>
      </c>
      <c r="U517" t="str">
        <f>IF(BikeData[[#This Row],[workingday]]=1,"Working Day","Non-working Day")</f>
        <v>Working Day</v>
      </c>
      <c r="V517" t="str">
        <f>CHOOSE(BikeData[[#This Row],[weekday]]+1,"Sunday","Monday","Tuesday","Wednesday","Thursday","Friday","Saturday")</f>
        <v>Wednesday</v>
      </c>
      <c r="W517" t="str">
        <f>CHOOSE(BikeData[[#This Row],[weathersit]],"Clear / Few Clouds","Mist / Cloudy","Light Rain / Snow","Heavy Rain / Snow")</f>
        <v>Mist / Cloudy</v>
      </c>
    </row>
    <row r="518" spans="1:23" x14ac:dyDescent="0.3">
      <c r="A518">
        <v>517</v>
      </c>
      <c r="B518" s="1">
        <v>41060</v>
      </c>
      <c r="C518">
        <v>2</v>
      </c>
      <c r="D518">
        <v>1</v>
      </c>
      <c r="E518">
        <v>5</v>
      </c>
      <c r="F518">
        <v>0</v>
      </c>
      <c r="G518">
        <v>4</v>
      </c>
      <c r="H518">
        <v>1</v>
      </c>
      <c r="I518">
        <v>1</v>
      </c>
      <c r="J518">
        <v>0.68</v>
      </c>
      <c r="K518">
        <v>0.63132900000000003</v>
      </c>
      <c r="L518">
        <v>0.49291699999999999</v>
      </c>
      <c r="M518">
        <v>0.19527900000000001</v>
      </c>
      <c r="N518">
        <v>1100</v>
      </c>
      <c r="O518">
        <v>6238</v>
      </c>
      <c r="P518">
        <v>7338</v>
      </c>
      <c r="Q518" t="str">
        <f>IF(BikeData[[#This Row],[casual]]+BikeData[[#This Row],[registered]]=BikeData[[#This Row],[cnt]],"OK","Check")</f>
        <v>OK</v>
      </c>
      <c r="R518">
        <f>IF(BikeData[[#This Row],[yr]]=0,2011,2012)</f>
        <v>2012</v>
      </c>
      <c r="S518" t="str">
        <f>CHOOSE(BikeData[[#This Row],[season]],"Winter","Spring","Summer","Fall")</f>
        <v>Spring</v>
      </c>
      <c r="T518" t="str">
        <f>TEXT(DATE(2000,BikeData[[#This Row],[mnth]],1),"mmmm")</f>
        <v>May</v>
      </c>
      <c r="U518" t="str">
        <f>IF(BikeData[[#This Row],[workingday]]=1,"Working Day","Non-working Day")</f>
        <v>Working Day</v>
      </c>
      <c r="V518" t="str">
        <f>CHOOSE(BikeData[[#This Row],[weekday]]+1,"Sunday","Monday","Tuesday","Wednesday","Thursday","Friday","Saturday")</f>
        <v>Thursday</v>
      </c>
      <c r="W518" t="str">
        <f>CHOOSE(BikeData[[#This Row],[weathersit]],"Clear / Few Clouds","Mist / Cloudy","Light Rain / Snow","Heavy Rain / Snow")</f>
        <v>Clear / Few Clouds</v>
      </c>
    </row>
    <row r="519" spans="1:23" x14ac:dyDescent="0.3">
      <c r="A519">
        <v>518</v>
      </c>
      <c r="B519" s="1">
        <v>41061</v>
      </c>
      <c r="C519">
        <v>2</v>
      </c>
      <c r="D519">
        <v>1</v>
      </c>
      <c r="E519">
        <v>6</v>
      </c>
      <c r="F519">
        <v>0</v>
      </c>
      <c r="G519">
        <v>5</v>
      </c>
      <c r="H519">
        <v>1</v>
      </c>
      <c r="I519">
        <v>2</v>
      </c>
      <c r="J519">
        <v>0.65416700000000005</v>
      </c>
      <c r="K519">
        <v>0.607962</v>
      </c>
      <c r="L519">
        <v>0.75541700000000001</v>
      </c>
      <c r="M519">
        <v>0.237563</v>
      </c>
      <c r="N519">
        <v>533</v>
      </c>
      <c r="O519">
        <v>3594</v>
      </c>
      <c r="P519">
        <v>4127</v>
      </c>
      <c r="Q519" t="str">
        <f>IF(BikeData[[#This Row],[casual]]+BikeData[[#This Row],[registered]]=BikeData[[#This Row],[cnt]],"OK","Check")</f>
        <v>OK</v>
      </c>
      <c r="R519">
        <f>IF(BikeData[[#This Row],[yr]]=0,2011,2012)</f>
        <v>2012</v>
      </c>
      <c r="S519" t="str">
        <f>CHOOSE(BikeData[[#This Row],[season]],"Winter","Spring","Summer","Fall")</f>
        <v>Spring</v>
      </c>
      <c r="T519" t="str">
        <f>TEXT(DATE(2000,BikeData[[#This Row],[mnth]],1),"mmmm")</f>
        <v>June</v>
      </c>
      <c r="U519" t="str">
        <f>IF(BikeData[[#This Row],[workingday]]=1,"Working Day","Non-working Day")</f>
        <v>Working Day</v>
      </c>
      <c r="V519" t="str">
        <f>CHOOSE(BikeData[[#This Row],[weekday]]+1,"Sunday","Monday","Tuesday","Wednesday","Thursday","Friday","Saturday")</f>
        <v>Friday</v>
      </c>
      <c r="W519" t="str">
        <f>CHOOSE(BikeData[[#This Row],[weathersit]],"Clear / Few Clouds","Mist / Cloudy","Light Rain / Snow","Heavy Rain / Snow")</f>
        <v>Mist / Cloudy</v>
      </c>
    </row>
    <row r="520" spans="1:23" x14ac:dyDescent="0.3">
      <c r="A520">
        <v>519</v>
      </c>
      <c r="B520" s="1">
        <v>41062</v>
      </c>
      <c r="C520">
        <v>2</v>
      </c>
      <c r="D520">
        <v>1</v>
      </c>
      <c r="E520">
        <v>6</v>
      </c>
      <c r="F520">
        <v>0</v>
      </c>
      <c r="G520">
        <v>6</v>
      </c>
      <c r="H520">
        <v>0</v>
      </c>
      <c r="I520">
        <v>1</v>
      </c>
      <c r="J520">
        <v>0.58333299999999999</v>
      </c>
      <c r="K520">
        <v>0.56628800000000001</v>
      </c>
      <c r="L520">
        <v>0.54916699999999996</v>
      </c>
      <c r="M520">
        <v>0.18656200000000001</v>
      </c>
      <c r="N520">
        <v>2795</v>
      </c>
      <c r="O520">
        <v>5325</v>
      </c>
      <c r="P520">
        <v>8120</v>
      </c>
      <c r="Q520" t="str">
        <f>IF(BikeData[[#This Row],[casual]]+BikeData[[#This Row],[registered]]=BikeData[[#This Row],[cnt]],"OK","Check")</f>
        <v>OK</v>
      </c>
      <c r="R520">
        <f>IF(BikeData[[#This Row],[yr]]=0,2011,2012)</f>
        <v>2012</v>
      </c>
      <c r="S520" t="str">
        <f>CHOOSE(BikeData[[#This Row],[season]],"Winter","Spring","Summer","Fall")</f>
        <v>Spring</v>
      </c>
      <c r="T520" t="str">
        <f>TEXT(DATE(2000,BikeData[[#This Row],[mnth]],1),"mmmm")</f>
        <v>June</v>
      </c>
      <c r="U520" t="str">
        <f>IF(BikeData[[#This Row],[workingday]]=1,"Working Day","Non-working Day")</f>
        <v>Non-working Day</v>
      </c>
      <c r="V520" t="str">
        <f>CHOOSE(BikeData[[#This Row],[weekday]]+1,"Sunday","Monday","Tuesday","Wednesday","Thursday","Friday","Saturday")</f>
        <v>Saturday</v>
      </c>
      <c r="W520" t="str">
        <f>CHOOSE(BikeData[[#This Row],[weathersit]],"Clear / Few Clouds","Mist / Cloudy","Light Rain / Snow","Heavy Rain / Snow")</f>
        <v>Clear / Few Clouds</v>
      </c>
    </row>
    <row r="521" spans="1:23" x14ac:dyDescent="0.3">
      <c r="A521">
        <v>520</v>
      </c>
      <c r="B521" s="1">
        <v>41063</v>
      </c>
      <c r="C521">
        <v>2</v>
      </c>
      <c r="D521">
        <v>1</v>
      </c>
      <c r="E521">
        <v>6</v>
      </c>
      <c r="F521">
        <v>0</v>
      </c>
      <c r="G521">
        <v>0</v>
      </c>
      <c r="H521">
        <v>0</v>
      </c>
      <c r="I521">
        <v>1</v>
      </c>
      <c r="J521">
        <v>0.60250000000000004</v>
      </c>
      <c r="K521">
        <v>0.57513300000000001</v>
      </c>
      <c r="L521">
        <v>0.49333300000000002</v>
      </c>
      <c r="M521">
        <v>0.184087</v>
      </c>
      <c r="N521">
        <v>2494</v>
      </c>
      <c r="O521">
        <v>5147</v>
      </c>
      <c r="P521">
        <v>7641</v>
      </c>
      <c r="Q521" t="str">
        <f>IF(BikeData[[#This Row],[casual]]+BikeData[[#This Row],[registered]]=BikeData[[#This Row],[cnt]],"OK","Check")</f>
        <v>OK</v>
      </c>
      <c r="R521">
        <f>IF(BikeData[[#This Row],[yr]]=0,2011,2012)</f>
        <v>2012</v>
      </c>
      <c r="S521" t="str">
        <f>CHOOSE(BikeData[[#This Row],[season]],"Winter","Spring","Summer","Fall")</f>
        <v>Spring</v>
      </c>
      <c r="T521" t="str">
        <f>TEXT(DATE(2000,BikeData[[#This Row],[mnth]],1),"mmmm")</f>
        <v>June</v>
      </c>
      <c r="U521" t="str">
        <f>IF(BikeData[[#This Row],[workingday]]=1,"Working Day","Non-working Day")</f>
        <v>Non-working Day</v>
      </c>
      <c r="V521" t="str">
        <f>CHOOSE(BikeData[[#This Row],[weekday]]+1,"Sunday","Monday","Tuesday","Wednesday","Thursday","Friday","Saturday")</f>
        <v>Sunday</v>
      </c>
      <c r="W521" t="str">
        <f>CHOOSE(BikeData[[#This Row],[weathersit]],"Clear / Few Clouds","Mist / Cloudy","Light Rain / Snow","Heavy Rain / Snow")</f>
        <v>Clear / Few Clouds</v>
      </c>
    </row>
    <row r="522" spans="1:23" x14ac:dyDescent="0.3">
      <c r="A522">
        <v>521</v>
      </c>
      <c r="B522" s="1">
        <v>41064</v>
      </c>
      <c r="C522">
        <v>2</v>
      </c>
      <c r="D522">
        <v>1</v>
      </c>
      <c r="E522">
        <v>6</v>
      </c>
      <c r="F522">
        <v>0</v>
      </c>
      <c r="G522">
        <v>1</v>
      </c>
      <c r="H522">
        <v>1</v>
      </c>
      <c r="I522">
        <v>1</v>
      </c>
      <c r="J522">
        <v>0.59750000000000003</v>
      </c>
      <c r="K522">
        <v>0.57828299999999999</v>
      </c>
      <c r="L522">
        <v>0.48708299999999999</v>
      </c>
      <c r="M522">
        <v>0.284833</v>
      </c>
      <c r="N522">
        <v>1071</v>
      </c>
      <c r="O522">
        <v>5927</v>
      </c>
      <c r="P522">
        <v>6998</v>
      </c>
      <c r="Q522" t="str">
        <f>IF(BikeData[[#This Row],[casual]]+BikeData[[#This Row],[registered]]=BikeData[[#This Row],[cnt]],"OK","Check")</f>
        <v>OK</v>
      </c>
      <c r="R522">
        <f>IF(BikeData[[#This Row],[yr]]=0,2011,2012)</f>
        <v>2012</v>
      </c>
      <c r="S522" t="str">
        <f>CHOOSE(BikeData[[#This Row],[season]],"Winter","Spring","Summer","Fall")</f>
        <v>Spring</v>
      </c>
      <c r="T522" t="str">
        <f>TEXT(DATE(2000,BikeData[[#This Row],[mnth]],1),"mmmm")</f>
        <v>June</v>
      </c>
      <c r="U522" t="str">
        <f>IF(BikeData[[#This Row],[workingday]]=1,"Working Day","Non-working Day")</f>
        <v>Working Day</v>
      </c>
      <c r="V522" t="str">
        <f>CHOOSE(BikeData[[#This Row],[weekday]]+1,"Sunday","Monday","Tuesday","Wednesday","Thursday","Friday","Saturday")</f>
        <v>Monday</v>
      </c>
      <c r="W522" t="str">
        <f>CHOOSE(BikeData[[#This Row],[weathersit]],"Clear / Few Clouds","Mist / Cloudy","Light Rain / Snow","Heavy Rain / Snow")</f>
        <v>Clear / Few Clouds</v>
      </c>
    </row>
    <row r="523" spans="1:23" x14ac:dyDescent="0.3">
      <c r="A523">
        <v>522</v>
      </c>
      <c r="B523" s="1">
        <v>41065</v>
      </c>
      <c r="C523">
        <v>2</v>
      </c>
      <c r="D523">
        <v>1</v>
      </c>
      <c r="E523">
        <v>6</v>
      </c>
      <c r="F523">
        <v>0</v>
      </c>
      <c r="G523">
        <v>2</v>
      </c>
      <c r="H523">
        <v>1</v>
      </c>
      <c r="I523">
        <v>2</v>
      </c>
      <c r="J523">
        <v>0.54083300000000001</v>
      </c>
      <c r="K523">
        <v>0.52589200000000003</v>
      </c>
      <c r="L523">
        <v>0.61333300000000002</v>
      </c>
      <c r="M523">
        <v>0.20957500000000001</v>
      </c>
      <c r="N523">
        <v>968</v>
      </c>
      <c r="O523">
        <v>6033</v>
      </c>
      <c r="P523">
        <v>7001</v>
      </c>
      <c r="Q523" t="str">
        <f>IF(BikeData[[#This Row],[casual]]+BikeData[[#This Row],[registered]]=BikeData[[#This Row],[cnt]],"OK","Check")</f>
        <v>OK</v>
      </c>
      <c r="R523">
        <f>IF(BikeData[[#This Row],[yr]]=0,2011,2012)</f>
        <v>2012</v>
      </c>
      <c r="S523" t="str">
        <f>CHOOSE(BikeData[[#This Row],[season]],"Winter","Spring","Summer","Fall")</f>
        <v>Spring</v>
      </c>
      <c r="T523" t="str">
        <f>TEXT(DATE(2000,BikeData[[#This Row],[mnth]],1),"mmmm")</f>
        <v>June</v>
      </c>
      <c r="U523" t="str">
        <f>IF(BikeData[[#This Row],[workingday]]=1,"Working Day","Non-working Day")</f>
        <v>Working Day</v>
      </c>
      <c r="V523" t="str">
        <f>CHOOSE(BikeData[[#This Row],[weekday]]+1,"Sunday","Monday","Tuesday","Wednesday","Thursday","Friday","Saturday")</f>
        <v>Tuesday</v>
      </c>
      <c r="W523" t="str">
        <f>CHOOSE(BikeData[[#This Row],[weathersit]],"Clear / Few Clouds","Mist / Cloudy","Light Rain / Snow","Heavy Rain / Snow")</f>
        <v>Mist / Cloudy</v>
      </c>
    </row>
    <row r="524" spans="1:23" x14ac:dyDescent="0.3">
      <c r="A524">
        <v>523</v>
      </c>
      <c r="B524" s="1">
        <v>41066</v>
      </c>
      <c r="C524">
        <v>2</v>
      </c>
      <c r="D524">
        <v>1</v>
      </c>
      <c r="E524">
        <v>6</v>
      </c>
      <c r="F524">
        <v>0</v>
      </c>
      <c r="G524">
        <v>3</v>
      </c>
      <c r="H524">
        <v>1</v>
      </c>
      <c r="I524">
        <v>1</v>
      </c>
      <c r="J524">
        <v>0.55416699999999997</v>
      </c>
      <c r="K524">
        <v>0.542292</v>
      </c>
      <c r="L524">
        <v>0.61124999999999996</v>
      </c>
      <c r="M524">
        <v>7.7124999999999999E-2</v>
      </c>
      <c r="N524">
        <v>1027</v>
      </c>
      <c r="O524">
        <v>6028</v>
      </c>
      <c r="P524">
        <v>7055</v>
      </c>
      <c r="Q524" t="str">
        <f>IF(BikeData[[#This Row],[casual]]+BikeData[[#This Row],[registered]]=BikeData[[#This Row],[cnt]],"OK","Check")</f>
        <v>OK</v>
      </c>
      <c r="R524">
        <f>IF(BikeData[[#This Row],[yr]]=0,2011,2012)</f>
        <v>2012</v>
      </c>
      <c r="S524" t="str">
        <f>CHOOSE(BikeData[[#This Row],[season]],"Winter","Spring","Summer","Fall")</f>
        <v>Spring</v>
      </c>
      <c r="T524" t="str">
        <f>TEXT(DATE(2000,BikeData[[#This Row],[mnth]],1),"mmmm")</f>
        <v>June</v>
      </c>
      <c r="U524" t="str">
        <f>IF(BikeData[[#This Row],[workingday]]=1,"Working Day","Non-working Day")</f>
        <v>Working Day</v>
      </c>
      <c r="V524" t="str">
        <f>CHOOSE(BikeData[[#This Row],[weekday]]+1,"Sunday","Monday","Tuesday","Wednesday","Thursday","Friday","Saturday")</f>
        <v>Wednesday</v>
      </c>
      <c r="W524" t="str">
        <f>CHOOSE(BikeData[[#This Row],[weathersit]],"Clear / Few Clouds","Mist / Cloudy","Light Rain / Snow","Heavy Rain / Snow")</f>
        <v>Clear / Few Clouds</v>
      </c>
    </row>
    <row r="525" spans="1:23" x14ac:dyDescent="0.3">
      <c r="A525">
        <v>524</v>
      </c>
      <c r="B525" s="1">
        <v>41067</v>
      </c>
      <c r="C525">
        <v>2</v>
      </c>
      <c r="D525">
        <v>1</v>
      </c>
      <c r="E525">
        <v>6</v>
      </c>
      <c r="F525">
        <v>0</v>
      </c>
      <c r="G525">
        <v>4</v>
      </c>
      <c r="H525">
        <v>1</v>
      </c>
      <c r="I525">
        <v>1</v>
      </c>
      <c r="J525">
        <v>0.60250000000000004</v>
      </c>
      <c r="K525">
        <v>0.569442</v>
      </c>
      <c r="L525">
        <v>0.567083</v>
      </c>
      <c r="M525">
        <v>0.15734999999999999</v>
      </c>
      <c r="N525">
        <v>1038</v>
      </c>
      <c r="O525">
        <v>6456</v>
      </c>
      <c r="P525">
        <v>7494</v>
      </c>
      <c r="Q525" t="str">
        <f>IF(BikeData[[#This Row],[casual]]+BikeData[[#This Row],[registered]]=BikeData[[#This Row],[cnt]],"OK","Check")</f>
        <v>OK</v>
      </c>
      <c r="R525">
        <f>IF(BikeData[[#This Row],[yr]]=0,2011,2012)</f>
        <v>2012</v>
      </c>
      <c r="S525" t="str">
        <f>CHOOSE(BikeData[[#This Row],[season]],"Winter","Spring","Summer","Fall")</f>
        <v>Spring</v>
      </c>
      <c r="T525" t="str">
        <f>TEXT(DATE(2000,BikeData[[#This Row],[mnth]],1),"mmmm")</f>
        <v>June</v>
      </c>
      <c r="U525" t="str">
        <f>IF(BikeData[[#This Row],[workingday]]=1,"Working Day","Non-working Day")</f>
        <v>Working Day</v>
      </c>
      <c r="V525" t="str">
        <f>CHOOSE(BikeData[[#This Row],[weekday]]+1,"Sunday","Monday","Tuesday","Wednesday","Thursday","Friday","Saturday")</f>
        <v>Thursday</v>
      </c>
      <c r="W525" t="str">
        <f>CHOOSE(BikeData[[#This Row],[weathersit]],"Clear / Few Clouds","Mist / Cloudy","Light Rain / Snow","Heavy Rain / Snow")</f>
        <v>Clear / Few Clouds</v>
      </c>
    </row>
    <row r="526" spans="1:23" x14ac:dyDescent="0.3">
      <c r="A526">
        <v>525</v>
      </c>
      <c r="B526" s="1">
        <v>41068</v>
      </c>
      <c r="C526">
        <v>2</v>
      </c>
      <c r="D526">
        <v>1</v>
      </c>
      <c r="E526">
        <v>6</v>
      </c>
      <c r="F526">
        <v>0</v>
      </c>
      <c r="G526">
        <v>5</v>
      </c>
      <c r="H526">
        <v>1</v>
      </c>
      <c r="I526">
        <v>1</v>
      </c>
      <c r="J526">
        <v>0.64916700000000005</v>
      </c>
      <c r="K526">
        <v>0.597862</v>
      </c>
      <c r="L526">
        <v>0.46791700000000003</v>
      </c>
      <c r="M526">
        <v>0.17538300000000001</v>
      </c>
      <c r="N526">
        <v>1488</v>
      </c>
      <c r="O526">
        <v>6248</v>
      </c>
      <c r="P526">
        <v>7736</v>
      </c>
      <c r="Q526" t="str">
        <f>IF(BikeData[[#This Row],[casual]]+BikeData[[#This Row],[registered]]=BikeData[[#This Row],[cnt]],"OK","Check")</f>
        <v>OK</v>
      </c>
      <c r="R526">
        <f>IF(BikeData[[#This Row],[yr]]=0,2011,2012)</f>
        <v>2012</v>
      </c>
      <c r="S526" t="str">
        <f>CHOOSE(BikeData[[#This Row],[season]],"Winter","Spring","Summer","Fall")</f>
        <v>Spring</v>
      </c>
      <c r="T526" t="str">
        <f>TEXT(DATE(2000,BikeData[[#This Row],[mnth]],1),"mmmm")</f>
        <v>June</v>
      </c>
      <c r="U526" t="str">
        <f>IF(BikeData[[#This Row],[workingday]]=1,"Working Day","Non-working Day")</f>
        <v>Working Day</v>
      </c>
      <c r="V526" t="str">
        <f>CHOOSE(BikeData[[#This Row],[weekday]]+1,"Sunday","Monday","Tuesday","Wednesday","Thursday","Friday","Saturday")</f>
        <v>Friday</v>
      </c>
      <c r="W526" t="str">
        <f>CHOOSE(BikeData[[#This Row],[weathersit]],"Clear / Few Clouds","Mist / Cloudy","Light Rain / Snow","Heavy Rain / Snow")</f>
        <v>Clear / Few Clouds</v>
      </c>
    </row>
    <row r="527" spans="1:23" x14ac:dyDescent="0.3">
      <c r="A527">
        <v>526</v>
      </c>
      <c r="B527" s="1">
        <v>41069</v>
      </c>
      <c r="C527">
        <v>2</v>
      </c>
      <c r="D527">
        <v>1</v>
      </c>
      <c r="E527">
        <v>6</v>
      </c>
      <c r="F527">
        <v>0</v>
      </c>
      <c r="G527">
        <v>6</v>
      </c>
      <c r="H527">
        <v>0</v>
      </c>
      <c r="I527">
        <v>1</v>
      </c>
      <c r="J527">
        <v>0.71083300000000005</v>
      </c>
      <c r="K527">
        <v>0.64836700000000003</v>
      </c>
      <c r="L527">
        <v>0.437083</v>
      </c>
      <c r="M527">
        <v>0.144287</v>
      </c>
      <c r="N527">
        <v>2708</v>
      </c>
      <c r="O527">
        <v>4790</v>
      </c>
      <c r="P527">
        <v>7498</v>
      </c>
      <c r="Q527" t="str">
        <f>IF(BikeData[[#This Row],[casual]]+BikeData[[#This Row],[registered]]=BikeData[[#This Row],[cnt]],"OK","Check")</f>
        <v>OK</v>
      </c>
      <c r="R527">
        <f>IF(BikeData[[#This Row],[yr]]=0,2011,2012)</f>
        <v>2012</v>
      </c>
      <c r="S527" t="str">
        <f>CHOOSE(BikeData[[#This Row],[season]],"Winter","Spring","Summer","Fall")</f>
        <v>Spring</v>
      </c>
      <c r="T527" t="str">
        <f>TEXT(DATE(2000,BikeData[[#This Row],[mnth]],1),"mmmm")</f>
        <v>June</v>
      </c>
      <c r="U527" t="str">
        <f>IF(BikeData[[#This Row],[workingday]]=1,"Working Day","Non-working Day")</f>
        <v>Non-working Day</v>
      </c>
      <c r="V527" t="str">
        <f>CHOOSE(BikeData[[#This Row],[weekday]]+1,"Sunday","Monday","Tuesday","Wednesday","Thursday","Friday","Saturday")</f>
        <v>Saturday</v>
      </c>
      <c r="W527" t="str">
        <f>CHOOSE(BikeData[[#This Row],[weathersit]],"Clear / Few Clouds","Mist / Cloudy","Light Rain / Snow","Heavy Rain / Snow")</f>
        <v>Clear / Few Clouds</v>
      </c>
    </row>
    <row r="528" spans="1:23" x14ac:dyDescent="0.3">
      <c r="A528">
        <v>527</v>
      </c>
      <c r="B528" s="1">
        <v>41070</v>
      </c>
      <c r="C528">
        <v>2</v>
      </c>
      <c r="D528">
        <v>1</v>
      </c>
      <c r="E528">
        <v>6</v>
      </c>
      <c r="F528">
        <v>0</v>
      </c>
      <c r="G528">
        <v>0</v>
      </c>
      <c r="H528">
        <v>0</v>
      </c>
      <c r="I528">
        <v>1</v>
      </c>
      <c r="J528">
        <v>0.72666699999999995</v>
      </c>
      <c r="K528">
        <v>0.66351700000000002</v>
      </c>
      <c r="L528">
        <v>0.53833299999999995</v>
      </c>
      <c r="M528">
        <v>0.13372100000000001</v>
      </c>
      <c r="N528">
        <v>2224</v>
      </c>
      <c r="O528">
        <v>4374</v>
      </c>
      <c r="P528">
        <v>6598</v>
      </c>
      <c r="Q528" t="str">
        <f>IF(BikeData[[#This Row],[casual]]+BikeData[[#This Row],[registered]]=BikeData[[#This Row],[cnt]],"OK","Check")</f>
        <v>OK</v>
      </c>
      <c r="R528">
        <f>IF(BikeData[[#This Row],[yr]]=0,2011,2012)</f>
        <v>2012</v>
      </c>
      <c r="S528" t="str">
        <f>CHOOSE(BikeData[[#This Row],[season]],"Winter","Spring","Summer","Fall")</f>
        <v>Spring</v>
      </c>
      <c r="T528" t="str">
        <f>TEXT(DATE(2000,BikeData[[#This Row],[mnth]],1),"mmmm")</f>
        <v>June</v>
      </c>
      <c r="U528" t="str">
        <f>IF(BikeData[[#This Row],[workingday]]=1,"Working Day","Non-working Day")</f>
        <v>Non-working Day</v>
      </c>
      <c r="V528" t="str">
        <f>CHOOSE(BikeData[[#This Row],[weekday]]+1,"Sunday","Monday","Tuesday","Wednesday","Thursday","Friday","Saturday")</f>
        <v>Sunday</v>
      </c>
      <c r="W528" t="str">
        <f>CHOOSE(BikeData[[#This Row],[weathersit]],"Clear / Few Clouds","Mist / Cloudy","Light Rain / Snow","Heavy Rain / Snow")</f>
        <v>Clear / Few Clouds</v>
      </c>
    </row>
    <row r="529" spans="1:23" x14ac:dyDescent="0.3">
      <c r="A529">
        <v>528</v>
      </c>
      <c r="B529" s="1">
        <v>41071</v>
      </c>
      <c r="C529">
        <v>2</v>
      </c>
      <c r="D529">
        <v>1</v>
      </c>
      <c r="E529">
        <v>6</v>
      </c>
      <c r="F529">
        <v>0</v>
      </c>
      <c r="G529">
        <v>1</v>
      </c>
      <c r="H529">
        <v>1</v>
      </c>
      <c r="I529">
        <v>2</v>
      </c>
      <c r="J529">
        <v>0.72083299999999995</v>
      </c>
      <c r="K529">
        <v>0.659721</v>
      </c>
      <c r="L529">
        <v>0.58791700000000002</v>
      </c>
      <c r="M529">
        <v>0.20771300000000001</v>
      </c>
      <c r="N529">
        <v>1017</v>
      </c>
      <c r="O529">
        <v>5647</v>
      </c>
      <c r="P529">
        <v>6664</v>
      </c>
      <c r="Q529" t="str">
        <f>IF(BikeData[[#This Row],[casual]]+BikeData[[#This Row],[registered]]=BikeData[[#This Row],[cnt]],"OK","Check")</f>
        <v>OK</v>
      </c>
      <c r="R529">
        <f>IF(BikeData[[#This Row],[yr]]=0,2011,2012)</f>
        <v>2012</v>
      </c>
      <c r="S529" t="str">
        <f>CHOOSE(BikeData[[#This Row],[season]],"Winter","Spring","Summer","Fall")</f>
        <v>Spring</v>
      </c>
      <c r="T529" t="str">
        <f>TEXT(DATE(2000,BikeData[[#This Row],[mnth]],1),"mmmm")</f>
        <v>June</v>
      </c>
      <c r="U529" t="str">
        <f>IF(BikeData[[#This Row],[workingday]]=1,"Working Day","Non-working Day")</f>
        <v>Working Day</v>
      </c>
      <c r="V529" t="str">
        <f>CHOOSE(BikeData[[#This Row],[weekday]]+1,"Sunday","Monday","Tuesday","Wednesday","Thursday","Friday","Saturday")</f>
        <v>Monday</v>
      </c>
      <c r="W529" t="str">
        <f>CHOOSE(BikeData[[#This Row],[weathersit]],"Clear / Few Clouds","Mist / Cloudy","Light Rain / Snow","Heavy Rain / Snow")</f>
        <v>Mist / Cloudy</v>
      </c>
    </row>
    <row r="530" spans="1:23" x14ac:dyDescent="0.3">
      <c r="A530">
        <v>529</v>
      </c>
      <c r="B530" s="1">
        <v>41072</v>
      </c>
      <c r="C530">
        <v>2</v>
      </c>
      <c r="D530">
        <v>1</v>
      </c>
      <c r="E530">
        <v>6</v>
      </c>
      <c r="F530">
        <v>0</v>
      </c>
      <c r="G530">
        <v>2</v>
      </c>
      <c r="H530">
        <v>1</v>
      </c>
      <c r="I530">
        <v>2</v>
      </c>
      <c r="J530">
        <v>0.65333300000000005</v>
      </c>
      <c r="K530">
        <v>0.59787500000000005</v>
      </c>
      <c r="L530">
        <v>0.83333299999999999</v>
      </c>
      <c r="M530">
        <v>0.21454599999999999</v>
      </c>
      <c r="N530">
        <v>477</v>
      </c>
      <c r="O530">
        <v>4495</v>
      </c>
      <c r="P530">
        <v>4972</v>
      </c>
      <c r="Q530" t="str">
        <f>IF(BikeData[[#This Row],[casual]]+BikeData[[#This Row],[registered]]=BikeData[[#This Row],[cnt]],"OK","Check")</f>
        <v>OK</v>
      </c>
      <c r="R530">
        <f>IF(BikeData[[#This Row],[yr]]=0,2011,2012)</f>
        <v>2012</v>
      </c>
      <c r="S530" t="str">
        <f>CHOOSE(BikeData[[#This Row],[season]],"Winter","Spring","Summer","Fall")</f>
        <v>Spring</v>
      </c>
      <c r="T530" t="str">
        <f>TEXT(DATE(2000,BikeData[[#This Row],[mnth]],1),"mmmm")</f>
        <v>June</v>
      </c>
      <c r="U530" t="str">
        <f>IF(BikeData[[#This Row],[workingday]]=1,"Working Day","Non-working Day")</f>
        <v>Working Day</v>
      </c>
      <c r="V530" t="str">
        <f>CHOOSE(BikeData[[#This Row],[weekday]]+1,"Sunday","Monday","Tuesday","Wednesday","Thursday","Friday","Saturday")</f>
        <v>Tuesday</v>
      </c>
      <c r="W530" t="str">
        <f>CHOOSE(BikeData[[#This Row],[weathersit]],"Clear / Few Clouds","Mist / Cloudy","Light Rain / Snow","Heavy Rain / Snow")</f>
        <v>Mist / Cloudy</v>
      </c>
    </row>
    <row r="531" spans="1:23" x14ac:dyDescent="0.3">
      <c r="A531">
        <v>530</v>
      </c>
      <c r="B531" s="1">
        <v>41073</v>
      </c>
      <c r="C531">
        <v>2</v>
      </c>
      <c r="D531">
        <v>1</v>
      </c>
      <c r="E531">
        <v>6</v>
      </c>
      <c r="F531">
        <v>0</v>
      </c>
      <c r="G531">
        <v>3</v>
      </c>
      <c r="H531">
        <v>1</v>
      </c>
      <c r="I531">
        <v>1</v>
      </c>
      <c r="J531">
        <v>0.655833</v>
      </c>
      <c r="K531">
        <v>0.61111700000000002</v>
      </c>
      <c r="L531">
        <v>0.58208300000000002</v>
      </c>
      <c r="M531">
        <v>0.343279</v>
      </c>
      <c r="N531">
        <v>1173</v>
      </c>
      <c r="O531">
        <v>6248</v>
      </c>
      <c r="P531">
        <v>7421</v>
      </c>
      <c r="Q531" t="str">
        <f>IF(BikeData[[#This Row],[casual]]+BikeData[[#This Row],[registered]]=BikeData[[#This Row],[cnt]],"OK","Check")</f>
        <v>OK</v>
      </c>
      <c r="R531">
        <f>IF(BikeData[[#This Row],[yr]]=0,2011,2012)</f>
        <v>2012</v>
      </c>
      <c r="S531" t="str">
        <f>CHOOSE(BikeData[[#This Row],[season]],"Winter","Spring","Summer","Fall")</f>
        <v>Spring</v>
      </c>
      <c r="T531" t="str">
        <f>TEXT(DATE(2000,BikeData[[#This Row],[mnth]],1),"mmmm")</f>
        <v>June</v>
      </c>
      <c r="U531" t="str">
        <f>IF(BikeData[[#This Row],[workingday]]=1,"Working Day","Non-working Day")</f>
        <v>Working Day</v>
      </c>
      <c r="V531" t="str">
        <f>CHOOSE(BikeData[[#This Row],[weekday]]+1,"Sunday","Monday","Tuesday","Wednesday","Thursday","Friday","Saturday")</f>
        <v>Wednesday</v>
      </c>
      <c r="W531" t="str">
        <f>CHOOSE(BikeData[[#This Row],[weathersit]],"Clear / Few Clouds","Mist / Cloudy","Light Rain / Snow","Heavy Rain / Snow")</f>
        <v>Clear / Few Clouds</v>
      </c>
    </row>
    <row r="532" spans="1:23" x14ac:dyDescent="0.3">
      <c r="A532">
        <v>531</v>
      </c>
      <c r="B532" s="1">
        <v>41074</v>
      </c>
      <c r="C532">
        <v>2</v>
      </c>
      <c r="D532">
        <v>1</v>
      </c>
      <c r="E532">
        <v>6</v>
      </c>
      <c r="F532">
        <v>0</v>
      </c>
      <c r="G532">
        <v>4</v>
      </c>
      <c r="H532">
        <v>1</v>
      </c>
      <c r="I532">
        <v>1</v>
      </c>
      <c r="J532">
        <v>0.64833300000000005</v>
      </c>
      <c r="K532">
        <v>0.62438300000000002</v>
      </c>
      <c r="L532">
        <v>0.56958299999999995</v>
      </c>
      <c r="M532">
        <v>0.25373299999999999</v>
      </c>
      <c r="N532">
        <v>1180</v>
      </c>
      <c r="O532">
        <v>6183</v>
      </c>
      <c r="P532">
        <v>7363</v>
      </c>
      <c r="Q532" t="str">
        <f>IF(BikeData[[#This Row],[casual]]+BikeData[[#This Row],[registered]]=BikeData[[#This Row],[cnt]],"OK","Check")</f>
        <v>OK</v>
      </c>
      <c r="R532">
        <f>IF(BikeData[[#This Row],[yr]]=0,2011,2012)</f>
        <v>2012</v>
      </c>
      <c r="S532" t="str">
        <f>CHOOSE(BikeData[[#This Row],[season]],"Winter","Spring","Summer","Fall")</f>
        <v>Spring</v>
      </c>
      <c r="T532" t="str">
        <f>TEXT(DATE(2000,BikeData[[#This Row],[mnth]],1),"mmmm")</f>
        <v>June</v>
      </c>
      <c r="U532" t="str">
        <f>IF(BikeData[[#This Row],[workingday]]=1,"Working Day","Non-working Day")</f>
        <v>Working Day</v>
      </c>
      <c r="V532" t="str">
        <f>CHOOSE(BikeData[[#This Row],[weekday]]+1,"Sunday","Monday","Tuesday","Wednesday","Thursday","Friday","Saturday")</f>
        <v>Thursday</v>
      </c>
      <c r="W532" t="str">
        <f>CHOOSE(BikeData[[#This Row],[weathersit]],"Clear / Few Clouds","Mist / Cloudy","Light Rain / Snow","Heavy Rain / Snow")</f>
        <v>Clear / Few Clouds</v>
      </c>
    </row>
    <row r="533" spans="1:23" x14ac:dyDescent="0.3">
      <c r="A533">
        <v>532</v>
      </c>
      <c r="B533" s="1">
        <v>41075</v>
      </c>
      <c r="C533">
        <v>2</v>
      </c>
      <c r="D533">
        <v>1</v>
      </c>
      <c r="E533">
        <v>6</v>
      </c>
      <c r="F533">
        <v>0</v>
      </c>
      <c r="G533">
        <v>5</v>
      </c>
      <c r="H533">
        <v>1</v>
      </c>
      <c r="I533">
        <v>1</v>
      </c>
      <c r="J533">
        <v>0.63916700000000004</v>
      </c>
      <c r="K533">
        <v>0.59975400000000001</v>
      </c>
      <c r="L533">
        <v>0.58958299999999997</v>
      </c>
      <c r="M533">
        <v>0.176617</v>
      </c>
      <c r="N533">
        <v>1563</v>
      </c>
      <c r="O533">
        <v>6102</v>
      </c>
      <c r="P533">
        <v>7665</v>
      </c>
      <c r="Q533" t="str">
        <f>IF(BikeData[[#This Row],[casual]]+BikeData[[#This Row],[registered]]=BikeData[[#This Row],[cnt]],"OK","Check")</f>
        <v>OK</v>
      </c>
      <c r="R533">
        <f>IF(BikeData[[#This Row],[yr]]=0,2011,2012)</f>
        <v>2012</v>
      </c>
      <c r="S533" t="str">
        <f>CHOOSE(BikeData[[#This Row],[season]],"Winter","Spring","Summer","Fall")</f>
        <v>Spring</v>
      </c>
      <c r="T533" t="str">
        <f>TEXT(DATE(2000,BikeData[[#This Row],[mnth]],1),"mmmm")</f>
        <v>June</v>
      </c>
      <c r="U533" t="str">
        <f>IF(BikeData[[#This Row],[workingday]]=1,"Working Day","Non-working Day")</f>
        <v>Working Day</v>
      </c>
      <c r="V533" t="str">
        <f>CHOOSE(BikeData[[#This Row],[weekday]]+1,"Sunday","Monday","Tuesday","Wednesday","Thursday","Friday","Saturday")</f>
        <v>Friday</v>
      </c>
      <c r="W533" t="str">
        <f>CHOOSE(BikeData[[#This Row],[weathersit]],"Clear / Few Clouds","Mist / Cloudy","Light Rain / Snow","Heavy Rain / Snow")</f>
        <v>Clear / Few Clouds</v>
      </c>
    </row>
    <row r="534" spans="1:23" x14ac:dyDescent="0.3">
      <c r="A534">
        <v>533</v>
      </c>
      <c r="B534" s="1">
        <v>41076</v>
      </c>
      <c r="C534">
        <v>2</v>
      </c>
      <c r="D534">
        <v>1</v>
      </c>
      <c r="E534">
        <v>6</v>
      </c>
      <c r="F534">
        <v>0</v>
      </c>
      <c r="G534">
        <v>6</v>
      </c>
      <c r="H534">
        <v>0</v>
      </c>
      <c r="I534">
        <v>1</v>
      </c>
      <c r="J534">
        <v>0.63166699999999998</v>
      </c>
      <c r="K534">
        <v>0.59470800000000001</v>
      </c>
      <c r="L534">
        <v>0.50416700000000003</v>
      </c>
      <c r="M534">
        <v>0.16666700000000001</v>
      </c>
      <c r="N534">
        <v>2963</v>
      </c>
      <c r="O534">
        <v>4739</v>
      </c>
      <c r="P534">
        <v>7702</v>
      </c>
      <c r="Q534" t="str">
        <f>IF(BikeData[[#This Row],[casual]]+BikeData[[#This Row],[registered]]=BikeData[[#This Row],[cnt]],"OK","Check")</f>
        <v>OK</v>
      </c>
      <c r="R534">
        <f>IF(BikeData[[#This Row],[yr]]=0,2011,2012)</f>
        <v>2012</v>
      </c>
      <c r="S534" t="str">
        <f>CHOOSE(BikeData[[#This Row],[season]],"Winter","Spring","Summer","Fall")</f>
        <v>Spring</v>
      </c>
      <c r="T534" t="str">
        <f>TEXT(DATE(2000,BikeData[[#This Row],[mnth]],1),"mmmm")</f>
        <v>June</v>
      </c>
      <c r="U534" t="str">
        <f>IF(BikeData[[#This Row],[workingday]]=1,"Working Day","Non-working Day")</f>
        <v>Non-working Day</v>
      </c>
      <c r="V534" t="str">
        <f>CHOOSE(BikeData[[#This Row],[weekday]]+1,"Sunday","Monday","Tuesday","Wednesday","Thursday","Friday","Saturday")</f>
        <v>Saturday</v>
      </c>
      <c r="W534" t="str">
        <f>CHOOSE(BikeData[[#This Row],[weathersit]],"Clear / Few Clouds","Mist / Cloudy","Light Rain / Snow","Heavy Rain / Snow")</f>
        <v>Clear / Few Clouds</v>
      </c>
    </row>
    <row r="535" spans="1:23" x14ac:dyDescent="0.3">
      <c r="A535">
        <v>534</v>
      </c>
      <c r="B535" s="1">
        <v>41077</v>
      </c>
      <c r="C535">
        <v>2</v>
      </c>
      <c r="D535">
        <v>1</v>
      </c>
      <c r="E535">
        <v>6</v>
      </c>
      <c r="F535">
        <v>0</v>
      </c>
      <c r="G535">
        <v>0</v>
      </c>
      <c r="H535">
        <v>0</v>
      </c>
      <c r="I535">
        <v>1</v>
      </c>
      <c r="J535">
        <v>0.59250000000000003</v>
      </c>
      <c r="K535">
        <v>0.57197500000000001</v>
      </c>
      <c r="L535">
        <v>0.59875</v>
      </c>
      <c r="M535">
        <v>0.14490400000000001</v>
      </c>
      <c r="N535">
        <v>2634</v>
      </c>
      <c r="O535">
        <v>4344</v>
      </c>
      <c r="P535">
        <v>6978</v>
      </c>
      <c r="Q535" t="str">
        <f>IF(BikeData[[#This Row],[casual]]+BikeData[[#This Row],[registered]]=BikeData[[#This Row],[cnt]],"OK","Check")</f>
        <v>OK</v>
      </c>
      <c r="R535">
        <f>IF(BikeData[[#This Row],[yr]]=0,2011,2012)</f>
        <v>2012</v>
      </c>
      <c r="S535" t="str">
        <f>CHOOSE(BikeData[[#This Row],[season]],"Winter","Spring","Summer","Fall")</f>
        <v>Spring</v>
      </c>
      <c r="T535" t="str">
        <f>TEXT(DATE(2000,BikeData[[#This Row],[mnth]],1),"mmmm")</f>
        <v>June</v>
      </c>
      <c r="U535" t="str">
        <f>IF(BikeData[[#This Row],[workingday]]=1,"Working Day","Non-working Day")</f>
        <v>Non-working Day</v>
      </c>
      <c r="V535" t="str">
        <f>CHOOSE(BikeData[[#This Row],[weekday]]+1,"Sunday","Monday","Tuesday","Wednesday","Thursday","Friday","Saturday")</f>
        <v>Sunday</v>
      </c>
      <c r="W535" t="str">
        <f>CHOOSE(BikeData[[#This Row],[weathersit]],"Clear / Few Clouds","Mist / Cloudy","Light Rain / Snow","Heavy Rain / Snow")</f>
        <v>Clear / Few Clouds</v>
      </c>
    </row>
    <row r="536" spans="1:23" x14ac:dyDescent="0.3">
      <c r="A536">
        <v>535</v>
      </c>
      <c r="B536" s="1">
        <v>41078</v>
      </c>
      <c r="C536">
        <v>2</v>
      </c>
      <c r="D536">
        <v>1</v>
      </c>
      <c r="E536">
        <v>6</v>
      </c>
      <c r="F536">
        <v>0</v>
      </c>
      <c r="G536">
        <v>1</v>
      </c>
      <c r="H536">
        <v>1</v>
      </c>
      <c r="I536">
        <v>2</v>
      </c>
      <c r="J536">
        <v>0.56833299999999998</v>
      </c>
      <c r="K536">
        <v>0.54484200000000005</v>
      </c>
      <c r="L536">
        <v>0.77791699999999997</v>
      </c>
      <c r="M536">
        <v>0.17474600000000001</v>
      </c>
      <c r="N536">
        <v>653</v>
      </c>
      <c r="O536">
        <v>4446</v>
      </c>
      <c r="P536">
        <v>5099</v>
      </c>
      <c r="Q536" t="str">
        <f>IF(BikeData[[#This Row],[casual]]+BikeData[[#This Row],[registered]]=BikeData[[#This Row],[cnt]],"OK","Check")</f>
        <v>OK</v>
      </c>
      <c r="R536">
        <f>IF(BikeData[[#This Row],[yr]]=0,2011,2012)</f>
        <v>2012</v>
      </c>
      <c r="S536" t="str">
        <f>CHOOSE(BikeData[[#This Row],[season]],"Winter","Spring","Summer","Fall")</f>
        <v>Spring</v>
      </c>
      <c r="T536" t="str">
        <f>TEXT(DATE(2000,BikeData[[#This Row],[mnth]],1),"mmmm")</f>
        <v>June</v>
      </c>
      <c r="U536" t="str">
        <f>IF(BikeData[[#This Row],[workingday]]=1,"Working Day","Non-working Day")</f>
        <v>Working Day</v>
      </c>
      <c r="V536" t="str">
        <f>CHOOSE(BikeData[[#This Row],[weekday]]+1,"Sunday","Monday","Tuesday","Wednesday","Thursday","Friday","Saturday")</f>
        <v>Monday</v>
      </c>
      <c r="W536" t="str">
        <f>CHOOSE(BikeData[[#This Row],[weathersit]],"Clear / Few Clouds","Mist / Cloudy","Light Rain / Snow","Heavy Rain / Snow")</f>
        <v>Mist / Cloudy</v>
      </c>
    </row>
    <row r="537" spans="1:23" x14ac:dyDescent="0.3">
      <c r="A537">
        <v>536</v>
      </c>
      <c r="B537" s="1">
        <v>41079</v>
      </c>
      <c r="C537">
        <v>2</v>
      </c>
      <c r="D537">
        <v>1</v>
      </c>
      <c r="E537">
        <v>6</v>
      </c>
      <c r="F537">
        <v>0</v>
      </c>
      <c r="G537">
        <v>2</v>
      </c>
      <c r="H537">
        <v>1</v>
      </c>
      <c r="I537">
        <v>1</v>
      </c>
      <c r="J537">
        <v>0.68833299999999997</v>
      </c>
      <c r="K537">
        <v>0.65469200000000005</v>
      </c>
      <c r="L537">
        <v>0.69</v>
      </c>
      <c r="M537">
        <v>0.14801700000000001</v>
      </c>
      <c r="N537">
        <v>968</v>
      </c>
      <c r="O537">
        <v>5857</v>
      </c>
      <c r="P537">
        <v>6825</v>
      </c>
      <c r="Q537" t="str">
        <f>IF(BikeData[[#This Row],[casual]]+BikeData[[#This Row],[registered]]=BikeData[[#This Row],[cnt]],"OK","Check")</f>
        <v>OK</v>
      </c>
      <c r="R537">
        <f>IF(BikeData[[#This Row],[yr]]=0,2011,2012)</f>
        <v>2012</v>
      </c>
      <c r="S537" t="str">
        <f>CHOOSE(BikeData[[#This Row],[season]],"Winter","Spring","Summer","Fall")</f>
        <v>Spring</v>
      </c>
      <c r="T537" t="str">
        <f>TEXT(DATE(2000,BikeData[[#This Row],[mnth]],1),"mmmm")</f>
        <v>June</v>
      </c>
      <c r="U537" t="str">
        <f>IF(BikeData[[#This Row],[workingday]]=1,"Working Day","Non-working Day")</f>
        <v>Working Day</v>
      </c>
      <c r="V537" t="str">
        <f>CHOOSE(BikeData[[#This Row],[weekday]]+1,"Sunday","Monday","Tuesday","Wednesday","Thursday","Friday","Saturday")</f>
        <v>Tuesday</v>
      </c>
      <c r="W537" t="str">
        <f>CHOOSE(BikeData[[#This Row],[weathersit]],"Clear / Few Clouds","Mist / Cloudy","Light Rain / Snow","Heavy Rain / Snow")</f>
        <v>Clear / Few Clouds</v>
      </c>
    </row>
    <row r="538" spans="1:23" x14ac:dyDescent="0.3">
      <c r="A538">
        <v>537</v>
      </c>
      <c r="B538" s="1">
        <v>41080</v>
      </c>
      <c r="C538">
        <v>2</v>
      </c>
      <c r="D538">
        <v>1</v>
      </c>
      <c r="E538">
        <v>6</v>
      </c>
      <c r="F538">
        <v>0</v>
      </c>
      <c r="G538">
        <v>3</v>
      </c>
      <c r="H538">
        <v>1</v>
      </c>
      <c r="I538">
        <v>1</v>
      </c>
      <c r="J538">
        <v>0.78249999999999997</v>
      </c>
      <c r="K538">
        <v>0.72097500000000003</v>
      </c>
      <c r="L538">
        <v>0.59208300000000003</v>
      </c>
      <c r="M538">
        <v>0.113812</v>
      </c>
      <c r="N538">
        <v>872</v>
      </c>
      <c r="O538">
        <v>5339</v>
      </c>
      <c r="P538">
        <v>6211</v>
      </c>
      <c r="Q538" t="str">
        <f>IF(BikeData[[#This Row],[casual]]+BikeData[[#This Row],[registered]]=BikeData[[#This Row],[cnt]],"OK","Check")</f>
        <v>OK</v>
      </c>
      <c r="R538">
        <f>IF(BikeData[[#This Row],[yr]]=0,2011,2012)</f>
        <v>2012</v>
      </c>
      <c r="S538" t="str">
        <f>CHOOSE(BikeData[[#This Row],[season]],"Winter","Spring","Summer","Fall")</f>
        <v>Spring</v>
      </c>
      <c r="T538" t="str">
        <f>TEXT(DATE(2000,BikeData[[#This Row],[mnth]],1),"mmmm")</f>
        <v>June</v>
      </c>
      <c r="U538" t="str">
        <f>IF(BikeData[[#This Row],[workingday]]=1,"Working Day","Non-working Day")</f>
        <v>Working Day</v>
      </c>
      <c r="V538" t="str">
        <f>CHOOSE(BikeData[[#This Row],[weekday]]+1,"Sunday","Monday","Tuesday","Wednesday","Thursday","Friday","Saturday")</f>
        <v>Wednesday</v>
      </c>
      <c r="W538" t="str">
        <f>CHOOSE(BikeData[[#This Row],[weathersit]],"Clear / Few Clouds","Mist / Cloudy","Light Rain / Snow","Heavy Rain / Snow")</f>
        <v>Clear / Few Clouds</v>
      </c>
    </row>
    <row r="539" spans="1:23" x14ac:dyDescent="0.3">
      <c r="A539">
        <v>538</v>
      </c>
      <c r="B539" s="1">
        <v>41081</v>
      </c>
      <c r="C539">
        <v>3</v>
      </c>
      <c r="D539">
        <v>1</v>
      </c>
      <c r="E539">
        <v>6</v>
      </c>
      <c r="F539">
        <v>0</v>
      </c>
      <c r="G539">
        <v>4</v>
      </c>
      <c r="H539">
        <v>1</v>
      </c>
      <c r="I539">
        <v>1</v>
      </c>
      <c r="J539">
        <v>0.80583300000000002</v>
      </c>
      <c r="K539">
        <v>0.75254200000000004</v>
      </c>
      <c r="L539">
        <v>0.56791700000000001</v>
      </c>
      <c r="M539">
        <v>0.118787</v>
      </c>
      <c r="N539">
        <v>778</v>
      </c>
      <c r="O539">
        <v>5127</v>
      </c>
      <c r="P539">
        <v>5905</v>
      </c>
      <c r="Q539" t="str">
        <f>IF(BikeData[[#This Row],[casual]]+BikeData[[#This Row],[registered]]=BikeData[[#This Row],[cnt]],"OK","Check")</f>
        <v>OK</v>
      </c>
      <c r="R539">
        <f>IF(BikeData[[#This Row],[yr]]=0,2011,2012)</f>
        <v>2012</v>
      </c>
      <c r="S539" t="str">
        <f>CHOOSE(BikeData[[#This Row],[season]],"Winter","Spring","Summer","Fall")</f>
        <v>Summer</v>
      </c>
      <c r="T539" t="str">
        <f>TEXT(DATE(2000,BikeData[[#This Row],[mnth]],1),"mmmm")</f>
        <v>June</v>
      </c>
      <c r="U539" t="str">
        <f>IF(BikeData[[#This Row],[workingday]]=1,"Working Day","Non-working Day")</f>
        <v>Working Day</v>
      </c>
      <c r="V539" t="str">
        <f>CHOOSE(BikeData[[#This Row],[weekday]]+1,"Sunday","Monday","Tuesday","Wednesday","Thursday","Friday","Saturday")</f>
        <v>Thursday</v>
      </c>
      <c r="W539" t="str">
        <f>CHOOSE(BikeData[[#This Row],[weathersit]],"Clear / Few Clouds","Mist / Cloudy","Light Rain / Snow","Heavy Rain / Snow")</f>
        <v>Clear / Few Clouds</v>
      </c>
    </row>
    <row r="540" spans="1:23" x14ac:dyDescent="0.3">
      <c r="A540">
        <v>539</v>
      </c>
      <c r="B540" s="1">
        <v>41082</v>
      </c>
      <c r="C540">
        <v>3</v>
      </c>
      <c r="D540">
        <v>1</v>
      </c>
      <c r="E540">
        <v>6</v>
      </c>
      <c r="F540">
        <v>0</v>
      </c>
      <c r="G540">
        <v>5</v>
      </c>
      <c r="H540">
        <v>1</v>
      </c>
      <c r="I540">
        <v>1</v>
      </c>
      <c r="J540">
        <v>0.77749999999999997</v>
      </c>
      <c r="K540">
        <v>0.72412100000000001</v>
      </c>
      <c r="L540">
        <v>0.57374999999999998</v>
      </c>
      <c r="M540">
        <v>0.182842</v>
      </c>
      <c r="N540">
        <v>964</v>
      </c>
      <c r="O540">
        <v>4859</v>
      </c>
      <c r="P540">
        <v>5823</v>
      </c>
      <c r="Q540" t="str">
        <f>IF(BikeData[[#This Row],[casual]]+BikeData[[#This Row],[registered]]=BikeData[[#This Row],[cnt]],"OK","Check")</f>
        <v>OK</v>
      </c>
      <c r="R540">
        <f>IF(BikeData[[#This Row],[yr]]=0,2011,2012)</f>
        <v>2012</v>
      </c>
      <c r="S540" t="str">
        <f>CHOOSE(BikeData[[#This Row],[season]],"Winter","Spring","Summer","Fall")</f>
        <v>Summer</v>
      </c>
      <c r="T540" t="str">
        <f>TEXT(DATE(2000,BikeData[[#This Row],[mnth]],1),"mmmm")</f>
        <v>June</v>
      </c>
      <c r="U540" t="str">
        <f>IF(BikeData[[#This Row],[workingday]]=1,"Working Day","Non-working Day")</f>
        <v>Working Day</v>
      </c>
      <c r="V540" t="str">
        <f>CHOOSE(BikeData[[#This Row],[weekday]]+1,"Sunday","Monday","Tuesday","Wednesday","Thursday","Friday","Saturday")</f>
        <v>Friday</v>
      </c>
      <c r="W540" t="str">
        <f>CHOOSE(BikeData[[#This Row],[weathersit]],"Clear / Few Clouds","Mist / Cloudy","Light Rain / Snow","Heavy Rain / Snow")</f>
        <v>Clear / Few Clouds</v>
      </c>
    </row>
    <row r="541" spans="1:23" x14ac:dyDescent="0.3">
      <c r="A541">
        <v>540</v>
      </c>
      <c r="B541" s="1">
        <v>41083</v>
      </c>
      <c r="C541">
        <v>3</v>
      </c>
      <c r="D541">
        <v>1</v>
      </c>
      <c r="E541">
        <v>6</v>
      </c>
      <c r="F541">
        <v>0</v>
      </c>
      <c r="G541">
        <v>6</v>
      </c>
      <c r="H541">
        <v>0</v>
      </c>
      <c r="I541">
        <v>1</v>
      </c>
      <c r="J541">
        <v>0.73166699999999996</v>
      </c>
      <c r="K541">
        <v>0.65279200000000004</v>
      </c>
      <c r="L541">
        <v>0.53458300000000003</v>
      </c>
      <c r="M541">
        <v>0.17972099999999999</v>
      </c>
      <c r="N541">
        <v>2657</v>
      </c>
      <c r="O541">
        <v>4801</v>
      </c>
      <c r="P541">
        <v>7458</v>
      </c>
      <c r="Q541" t="str">
        <f>IF(BikeData[[#This Row],[casual]]+BikeData[[#This Row],[registered]]=BikeData[[#This Row],[cnt]],"OK","Check")</f>
        <v>OK</v>
      </c>
      <c r="R541">
        <f>IF(BikeData[[#This Row],[yr]]=0,2011,2012)</f>
        <v>2012</v>
      </c>
      <c r="S541" t="str">
        <f>CHOOSE(BikeData[[#This Row],[season]],"Winter","Spring","Summer","Fall")</f>
        <v>Summer</v>
      </c>
      <c r="T541" t="str">
        <f>TEXT(DATE(2000,BikeData[[#This Row],[mnth]],1),"mmmm")</f>
        <v>June</v>
      </c>
      <c r="U541" t="str">
        <f>IF(BikeData[[#This Row],[workingday]]=1,"Working Day","Non-working Day")</f>
        <v>Non-working Day</v>
      </c>
      <c r="V541" t="str">
        <f>CHOOSE(BikeData[[#This Row],[weekday]]+1,"Sunday","Monday","Tuesday","Wednesday","Thursday","Friday","Saturday")</f>
        <v>Saturday</v>
      </c>
      <c r="W541" t="str">
        <f>CHOOSE(BikeData[[#This Row],[weathersit]],"Clear / Few Clouds","Mist / Cloudy","Light Rain / Snow","Heavy Rain / Snow")</f>
        <v>Clear / Few Clouds</v>
      </c>
    </row>
    <row r="542" spans="1:23" x14ac:dyDescent="0.3">
      <c r="A542">
        <v>541</v>
      </c>
      <c r="B542" s="1">
        <v>41084</v>
      </c>
      <c r="C542">
        <v>3</v>
      </c>
      <c r="D542">
        <v>1</v>
      </c>
      <c r="E542">
        <v>6</v>
      </c>
      <c r="F542">
        <v>0</v>
      </c>
      <c r="G542">
        <v>0</v>
      </c>
      <c r="H542">
        <v>0</v>
      </c>
      <c r="I542">
        <v>1</v>
      </c>
      <c r="J542">
        <v>0.74333300000000002</v>
      </c>
      <c r="K542">
        <v>0.67425400000000002</v>
      </c>
      <c r="L542">
        <v>0.47916700000000001</v>
      </c>
      <c r="M542">
        <v>0.14552499999999999</v>
      </c>
      <c r="N542">
        <v>2551</v>
      </c>
      <c r="O542">
        <v>4340</v>
      </c>
      <c r="P542">
        <v>6891</v>
      </c>
      <c r="Q542" t="str">
        <f>IF(BikeData[[#This Row],[casual]]+BikeData[[#This Row],[registered]]=BikeData[[#This Row],[cnt]],"OK","Check")</f>
        <v>OK</v>
      </c>
      <c r="R542">
        <f>IF(BikeData[[#This Row],[yr]]=0,2011,2012)</f>
        <v>2012</v>
      </c>
      <c r="S542" t="str">
        <f>CHOOSE(BikeData[[#This Row],[season]],"Winter","Spring","Summer","Fall")</f>
        <v>Summer</v>
      </c>
      <c r="T542" t="str">
        <f>TEXT(DATE(2000,BikeData[[#This Row],[mnth]],1),"mmmm")</f>
        <v>June</v>
      </c>
      <c r="U542" t="str">
        <f>IF(BikeData[[#This Row],[workingday]]=1,"Working Day","Non-working Day")</f>
        <v>Non-working Day</v>
      </c>
      <c r="V542" t="str">
        <f>CHOOSE(BikeData[[#This Row],[weekday]]+1,"Sunday","Monday","Tuesday","Wednesday","Thursday","Friday","Saturday")</f>
        <v>Sunday</v>
      </c>
      <c r="W542" t="str">
        <f>CHOOSE(BikeData[[#This Row],[weathersit]],"Clear / Few Clouds","Mist / Cloudy","Light Rain / Snow","Heavy Rain / Snow")</f>
        <v>Clear / Few Clouds</v>
      </c>
    </row>
    <row r="543" spans="1:23" x14ac:dyDescent="0.3">
      <c r="A543">
        <v>542</v>
      </c>
      <c r="B543" s="1">
        <v>41085</v>
      </c>
      <c r="C543">
        <v>3</v>
      </c>
      <c r="D543">
        <v>1</v>
      </c>
      <c r="E543">
        <v>6</v>
      </c>
      <c r="F543">
        <v>0</v>
      </c>
      <c r="G543">
        <v>1</v>
      </c>
      <c r="H543">
        <v>1</v>
      </c>
      <c r="I543">
        <v>1</v>
      </c>
      <c r="J543">
        <v>0.71583300000000005</v>
      </c>
      <c r="K543">
        <v>0.65404200000000001</v>
      </c>
      <c r="L543">
        <v>0.50416700000000003</v>
      </c>
      <c r="M543">
        <v>0.30038300000000001</v>
      </c>
      <c r="N543">
        <v>1139</v>
      </c>
      <c r="O543">
        <v>5640</v>
      </c>
      <c r="P543">
        <v>6779</v>
      </c>
      <c r="Q543" t="str">
        <f>IF(BikeData[[#This Row],[casual]]+BikeData[[#This Row],[registered]]=BikeData[[#This Row],[cnt]],"OK","Check")</f>
        <v>OK</v>
      </c>
      <c r="R543">
        <f>IF(BikeData[[#This Row],[yr]]=0,2011,2012)</f>
        <v>2012</v>
      </c>
      <c r="S543" t="str">
        <f>CHOOSE(BikeData[[#This Row],[season]],"Winter","Spring","Summer","Fall")</f>
        <v>Summer</v>
      </c>
      <c r="T543" t="str">
        <f>TEXT(DATE(2000,BikeData[[#This Row],[mnth]],1),"mmmm")</f>
        <v>June</v>
      </c>
      <c r="U543" t="str">
        <f>IF(BikeData[[#This Row],[workingday]]=1,"Working Day","Non-working Day")</f>
        <v>Working Day</v>
      </c>
      <c r="V543" t="str">
        <f>CHOOSE(BikeData[[#This Row],[weekday]]+1,"Sunday","Monday","Tuesday","Wednesday","Thursday","Friday","Saturday")</f>
        <v>Monday</v>
      </c>
      <c r="W543" t="str">
        <f>CHOOSE(BikeData[[#This Row],[weathersit]],"Clear / Few Clouds","Mist / Cloudy","Light Rain / Snow","Heavy Rain / Snow")</f>
        <v>Clear / Few Clouds</v>
      </c>
    </row>
    <row r="544" spans="1:23" x14ac:dyDescent="0.3">
      <c r="A544">
        <v>543</v>
      </c>
      <c r="B544" s="1">
        <v>41086</v>
      </c>
      <c r="C544">
        <v>3</v>
      </c>
      <c r="D544">
        <v>1</v>
      </c>
      <c r="E544">
        <v>6</v>
      </c>
      <c r="F544">
        <v>0</v>
      </c>
      <c r="G544">
        <v>2</v>
      </c>
      <c r="H544">
        <v>1</v>
      </c>
      <c r="I544">
        <v>1</v>
      </c>
      <c r="J544">
        <v>0.63083299999999998</v>
      </c>
      <c r="K544">
        <v>0.59470400000000001</v>
      </c>
      <c r="L544">
        <v>0.37333300000000003</v>
      </c>
      <c r="M544">
        <v>0.34764200000000001</v>
      </c>
      <c r="N544">
        <v>1077</v>
      </c>
      <c r="O544">
        <v>6365</v>
      </c>
      <c r="P544">
        <v>7442</v>
      </c>
      <c r="Q544" t="str">
        <f>IF(BikeData[[#This Row],[casual]]+BikeData[[#This Row],[registered]]=BikeData[[#This Row],[cnt]],"OK","Check")</f>
        <v>OK</v>
      </c>
      <c r="R544">
        <f>IF(BikeData[[#This Row],[yr]]=0,2011,2012)</f>
        <v>2012</v>
      </c>
      <c r="S544" t="str">
        <f>CHOOSE(BikeData[[#This Row],[season]],"Winter","Spring","Summer","Fall")</f>
        <v>Summer</v>
      </c>
      <c r="T544" t="str">
        <f>TEXT(DATE(2000,BikeData[[#This Row],[mnth]],1),"mmmm")</f>
        <v>June</v>
      </c>
      <c r="U544" t="str">
        <f>IF(BikeData[[#This Row],[workingday]]=1,"Working Day","Non-working Day")</f>
        <v>Working Day</v>
      </c>
      <c r="V544" t="str">
        <f>CHOOSE(BikeData[[#This Row],[weekday]]+1,"Sunday","Monday","Tuesday","Wednesday","Thursday","Friday","Saturday")</f>
        <v>Tuesday</v>
      </c>
      <c r="W544" t="str">
        <f>CHOOSE(BikeData[[#This Row],[weathersit]],"Clear / Few Clouds","Mist / Cloudy","Light Rain / Snow","Heavy Rain / Snow")</f>
        <v>Clear / Few Clouds</v>
      </c>
    </row>
    <row r="545" spans="1:23" x14ac:dyDescent="0.3">
      <c r="A545">
        <v>544</v>
      </c>
      <c r="B545" s="1">
        <v>41087</v>
      </c>
      <c r="C545">
        <v>3</v>
      </c>
      <c r="D545">
        <v>1</v>
      </c>
      <c r="E545">
        <v>6</v>
      </c>
      <c r="F545">
        <v>0</v>
      </c>
      <c r="G545">
        <v>3</v>
      </c>
      <c r="H545">
        <v>1</v>
      </c>
      <c r="I545">
        <v>1</v>
      </c>
      <c r="J545">
        <v>0.69750000000000001</v>
      </c>
      <c r="K545">
        <v>0.64079200000000003</v>
      </c>
      <c r="L545">
        <v>0.36</v>
      </c>
      <c r="M545">
        <v>0.27177499999999999</v>
      </c>
      <c r="N545">
        <v>1077</v>
      </c>
      <c r="O545">
        <v>6258</v>
      </c>
      <c r="P545">
        <v>7335</v>
      </c>
      <c r="Q545" t="str">
        <f>IF(BikeData[[#This Row],[casual]]+BikeData[[#This Row],[registered]]=BikeData[[#This Row],[cnt]],"OK","Check")</f>
        <v>OK</v>
      </c>
      <c r="R545">
        <f>IF(BikeData[[#This Row],[yr]]=0,2011,2012)</f>
        <v>2012</v>
      </c>
      <c r="S545" t="str">
        <f>CHOOSE(BikeData[[#This Row],[season]],"Winter","Spring","Summer","Fall")</f>
        <v>Summer</v>
      </c>
      <c r="T545" t="str">
        <f>TEXT(DATE(2000,BikeData[[#This Row],[mnth]],1),"mmmm")</f>
        <v>June</v>
      </c>
      <c r="U545" t="str">
        <f>IF(BikeData[[#This Row],[workingday]]=1,"Working Day","Non-working Day")</f>
        <v>Working Day</v>
      </c>
      <c r="V545" t="str">
        <f>CHOOSE(BikeData[[#This Row],[weekday]]+1,"Sunday","Monday","Tuesday","Wednesday","Thursday","Friday","Saturday")</f>
        <v>Wednesday</v>
      </c>
      <c r="W545" t="str">
        <f>CHOOSE(BikeData[[#This Row],[weathersit]],"Clear / Few Clouds","Mist / Cloudy","Light Rain / Snow","Heavy Rain / Snow")</f>
        <v>Clear / Few Clouds</v>
      </c>
    </row>
    <row r="546" spans="1:23" x14ac:dyDescent="0.3">
      <c r="A546">
        <v>545</v>
      </c>
      <c r="B546" s="1">
        <v>41088</v>
      </c>
      <c r="C546">
        <v>3</v>
      </c>
      <c r="D546">
        <v>1</v>
      </c>
      <c r="E546">
        <v>6</v>
      </c>
      <c r="F546">
        <v>0</v>
      </c>
      <c r="G546">
        <v>4</v>
      </c>
      <c r="H546">
        <v>1</v>
      </c>
      <c r="I546">
        <v>1</v>
      </c>
      <c r="J546">
        <v>0.74916700000000003</v>
      </c>
      <c r="K546">
        <v>0.675512</v>
      </c>
      <c r="L546">
        <v>0.42249999999999999</v>
      </c>
      <c r="M546">
        <v>0.17165</v>
      </c>
      <c r="N546">
        <v>921</v>
      </c>
      <c r="O546">
        <v>5958</v>
      </c>
      <c r="P546">
        <v>6879</v>
      </c>
      <c r="Q546" t="str">
        <f>IF(BikeData[[#This Row],[casual]]+BikeData[[#This Row],[registered]]=BikeData[[#This Row],[cnt]],"OK","Check")</f>
        <v>OK</v>
      </c>
      <c r="R546">
        <f>IF(BikeData[[#This Row],[yr]]=0,2011,2012)</f>
        <v>2012</v>
      </c>
      <c r="S546" t="str">
        <f>CHOOSE(BikeData[[#This Row],[season]],"Winter","Spring","Summer","Fall")</f>
        <v>Summer</v>
      </c>
      <c r="T546" t="str">
        <f>TEXT(DATE(2000,BikeData[[#This Row],[mnth]],1),"mmmm")</f>
        <v>June</v>
      </c>
      <c r="U546" t="str">
        <f>IF(BikeData[[#This Row],[workingday]]=1,"Working Day","Non-working Day")</f>
        <v>Working Day</v>
      </c>
      <c r="V546" t="str">
        <f>CHOOSE(BikeData[[#This Row],[weekday]]+1,"Sunday","Monday","Tuesday","Wednesday","Thursday","Friday","Saturday")</f>
        <v>Thursday</v>
      </c>
      <c r="W546" t="str">
        <f>CHOOSE(BikeData[[#This Row],[weathersit]],"Clear / Few Clouds","Mist / Cloudy","Light Rain / Snow","Heavy Rain / Snow")</f>
        <v>Clear / Few Clouds</v>
      </c>
    </row>
    <row r="547" spans="1:23" x14ac:dyDescent="0.3">
      <c r="A547">
        <v>546</v>
      </c>
      <c r="B547" s="1">
        <v>41089</v>
      </c>
      <c r="C547">
        <v>3</v>
      </c>
      <c r="D547">
        <v>1</v>
      </c>
      <c r="E547">
        <v>6</v>
      </c>
      <c r="F547">
        <v>0</v>
      </c>
      <c r="G547">
        <v>5</v>
      </c>
      <c r="H547">
        <v>1</v>
      </c>
      <c r="I547">
        <v>1</v>
      </c>
      <c r="J547">
        <v>0.83416699999999999</v>
      </c>
      <c r="K547">
        <v>0.78661300000000001</v>
      </c>
      <c r="L547">
        <v>0.48875000000000002</v>
      </c>
      <c r="M547">
        <v>0.16541700000000001</v>
      </c>
      <c r="N547">
        <v>829</v>
      </c>
      <c r="O547">
        <v>4634</v>
      </c>
      <c r="P547">
        <v>5463</v>
      </c>
      <c r="Q547" t="str">
        <f>IF(BikeData[[#This Row],[casual]]+BikeData[[#This Row],[registered]]=BikeData[[#This Row],[cnt]],"OK","Check")</f>
        <v>OK</v>
      </c>
      <c r="R547">
        <f>IF(BikeData[[#This Row],[yr]]=0,2011,2012)</f>
        <v>2012</v>
      </c>
      <c r="S547" t="str">
        <f>CHOOSE(BikeData[[#This Row],[season]],"Winter","Spring","Summer","Fall")</f>
        <v>Summer</v>
      </c>
      <c r="T547" t="str">
        <f>TEXT(DATE(2000,BikeData[[#This Row],[mnth]],1),"mmmm")</f>
        <v>June</v>
      </c>
      <c r="U547" t="str">
        <f>IF(BikeData[[#This Row],[workingday]]=1,"Working Day","Non-working Day")</f>
        <v>Working Day</v>
      </c>
      <c r="V547" t="str">
        <f>CHOOSE(BikeData[[#This Row],[weekday]]+1,"Sunday","Monday","Tuesday","Wednesday","Thursday","Friday","Saturday")</f>
        <v>Friday</v>
      </c>
      <c r="W547" t="str">
        <f>CHOOSE(BikeData[[#This Row],[weathersit]],"Clear / Few Clouds","Mist / Cloudy","Light Rain / Snow","Heavy Rain / Snow")</f>
        <v>Clear / Few Clouds</v>
      </c>
    </row>
    <row r="548" spans="1:23" x14ac:dyDescent="0.3">
      <c r="A548">
        <v>547</v>
      </c>
      <c r="B548" s="1">
        <v>41090</v>
      </c>
      <c r="C548">
        <v>3</v>
      </c>
      <c r="D548">
        <v>1</v>
      </c>
      <c r="E548">
        <v>6</v>
      </c>
      <c r="F548">
        <v>0</v>
      </c>
      <c r="G548">
        <v>6</v>
      </c>
      <c r="H548">
        <v>0</v>
      </c>
      <c r="I548">
        <v>1</v>
      </c>
      <c r="J548">
        <v>0.76500000000000001</v>
      </c>
      <c r="K548">
        <v>0.68750800000000001</v>
      </c>
      <c r="L548">
        <v>0.60124999999999995</v>
      </c>
      <c r="M548">
        <v>0.16107099999999999</v>
      </c>
      <c r="N548">
        <v>1455</v>
      </c>
      <c r="O548">
        <v>4232</v>
      </c>
      <c r="P548">
        <v>5687</v>
      </c>
      <c r="Q548" t="str">
        <f>IF(BikeData[[#This Row],[casual]]+BikeData[[#This Row],[registered]]=BikeData[[#This Row],[cnt]],"OK","Check")</f>
        <v>OK</v>
      </c>
      <c r="R548">
        <f>IF(BikeData[[#This Row],[yr]]=0,2011,2012)</f>
        <v>2012</v>
      </c>
      <c r="S548" t="str">
        <f>CHOOSE(BikeData[[#This Row],[season]],"Winter","Spring","Summer","Fall")</f>
        <v>Summer</v>
      </c>
      <c r="T548" t="str">
        <f>TEXT(DATE(2000,BikeData[[#This Row],[mnth]],1),"mmmm")</f>
        <v>June</v>
      </c>
      <c r="U548" t="str">
        <f>IF(BikeData[[#This Row],[workingday]]=1,"Working Day","Non-working Day")</f>
        <v>Non-working Day</v>
      </c>
      <c r="V548" t="str">
        <f>CHOOSE(BikeData[[#This Row],[weekday]]+1,"Sunday","Monday","Tuesday","Wednesday","Thursday","Friday","Saturday")</f>
        <v>Saturday</v>
      </c>
      <c r="W548" t="str">
        <f>CHOOSE(BikeData[[#This Row],[weathersit]],"Clear / Few Clouds","Mist / Cloudy","Light Rain / Snow","Heavy Rain / Snow")</f>
        <v>Clear / Few Clouds</v>
      </c>
    </row>
    <row r="549" spans="1:23" x14ac:dyDescent="0.3">
      <c r="A549">
        <v>548</v>
      </c>
      <c r="B549" s="1">
        <v>41091</v>
      </c>
      <c r="C549">
        <v>3</v>
      </c>
      <c r="D549">
        <v>1</v>
      </c>
      <c r="E549">
        <v>7</v>
      </c>
      <c r="F549">
        <v>0</v>
      </c>
      <c r="G549">
        <v>0</v>
      </c>
      <c r="H549">
        <v>0</v>
      </c>
      <c r="I549">
        <v>1</v>
      </c>
      <c r="J549">
        <v>0.81583300000000003</v>
      </c>
      <c r="K549">
        <v>0.75062899999999999</v>
      </c>
      <c r="L549">
        <v>0.51875000000000004</v>
      </c>
      <c r="M549">
        <v>0.16852900000000001</v>
      </c>
      <c r="N549">
        <v>1421</v>
      </c>
      <c r="O549">
        <v>4110</v>
      </c>
      <c r="P549">
        <v>5531</v>
      </c>
      <c r="Q549" t="str">
        <f>IF(BikeData[[#This Row],[casual]]+BikeData[[#This Row],[registered]]=BikeData[[#This Row],[cnt]],"OK","Check")</f>
        <v>OK</v>
      </c>
      <c r="R549">
        <f>IF(BikeData[[#This Row],[yr]]=0,2011,2012)</f>
        <v>2012</v>
      </c>
      <c r="S549" t="str">
        <f>CHOOSE(BikeData[[#This Row],[season]],"Winter","Spring","Summer","Fall")</f>
        <v>Summer</v>
      </c>
      <c r="T549" t="str">
        <f>TEXT(DATE(2000,BikeData[[#This Row],[mnth]],1),"mmmm")</f>
        <v>July</v>
      </c>
      <c r="U549" t="str">
        <f>IF(BikeData[[#This Row],[workingday]]=1,"Working Day","Non-working Day")</f>
        <v>Non-working Day</v>
      </c>
      <c r="V549" t="str">
        <f>CHOOSE(BikeData[[#This Row],[weekday]]+1,"Sunday","Monday","Tuesday","Wednesday","Thursday","Friday","Saturday")</f>
        <v>Sunday</v>
      </c>
      <c r="W549" t="str">
        <f>CHOOSE(BikeData[[#This Row],[weathersit]],"Clear / Few Clouds","Mist / Cloudy","Light Rain / Snow","Heavy Rain / Snow")</f>
        <v>Clear / Few Clouds</v>
      </c>
    </row>
    <row r="550" spans="1:23" x14ac:dyDescent="0.3">
      <c r="A550">
        <v>549</v>
      </c>
      <c r="B550" s="1">
        <v>41092</v>
      </c>
      <c r="C550">
        <v>3</v>
      </c>
      <c r="D550">
        <v>1</v>
      </c>
      <c r="E550">
        <v>7</v>
      </c>
      <c r="F550">
        <v>0</v>
      </c>
      <c r="G550">
        <v>1</v>
      </c>
      <c r="H550">
        <v>1</v>
      </c>
      <c r="I550">
        <v>1</v>
      </c>
      <c r="J550">
        <v>0.781667</v>
      </c>
      <c r="K550">
        <v>0.70203800000000005</v>
      </c>
      <c r="L550">
        <v>0.44708300000000001</v>
      </c>
      <c r="M550">
        <v>0.195267</v>
      </c>
      <c r="N550">
        <v>904</v>
      </c>
      <c r="O550">
        <v>5323</v>
      </c>
      <c r="P550">
        <v>6227</v>
      </c>
      <c r="Q550" t="str">
        <f>IF(BikeData[[#This Row],[casual]]+BikeData[[#This Row],[registered]]=BikeData[[#This Row],[cnt]],"OK","Check")</f>
        <v>OK</v>
      </c>
      <c r="R550">
        <f>IF(BikeData[[#This Row],[yr]]=0,2011,2012)</f>
        <v>2012</v>
      </c>
      <c r="S550" t="str">
        <f>CHOOSE(BikeData[[#This Row],[season]],"Winter","Spring","Summer","Fall")</f>
        <v>Summer</v>
      </c>
      <c r="T550" t="str">
        <f>TEXT(DATE(2000,BikeData[[#This Row],[mnth]],1),"mmmm")</f>
        <v>July</v>
      </c>
      <c r="U550" t="str">
        <f>IF(BikeData[[#This Row],[workingday]]=1,"Working Day","Non-working Day")</f>
        <v>Working Day</v>
      </c>
      <c r="V550" t="str">
        <f>CHOOSE(BikeData[[#This Row],[weekday]]+1,"Sunday","Monday","Tuesday","Wednesday","Thursday","Friday","Saturday")</f>
        <v>Monday</v>
      </c>
      <c r="W550" t="str">
        <f>CHOOSE(BikeData[[#This Row],[weathersit]],"Clear / Few Clouds","Mist / Cloudy","Light Rain / Snow","Heavy Rain / Snow")</f>
        <v>Clear / Few Clouds</v>
      </c>
    </row>
    <row r="551" spans="1:23" x14ac:dyDescent="0.3">
      <c r="A551">
        <v>550</v>
      </c>
      <c r="B551" s="1">
        <v>41093</v>
      </c>
      <c r="C551">
        <v>3</v>
      </c>
      <c r="D551">
        <v>1</v>
      </c>
      <c r="E551">
        <v>7</v>
      </c>
      <c r="F551">
        <v>0</v>
      </c>
      <c r="G551">
        <v>2</v>
      </c>
      <c r="H551">
        <v>1</v>
      </c>
      <c r="I551">
        <v>1</v>
      </c>
      <c r="J551">
        <v>0.780833</v>
      </c>
      <c r="K551">
        <v>0.70265</v>
      </c>
      <c r="L551">
        <v>0.49208299999999999</v>
      </c>
      <c r="M551">
        <v>0.12623699999999999</v>
      </c>
      <c r="N551">
        <v>1052</v>
      </c>
      <c r="O551">
        <v>5608</v>
      </c>
      <c r="P551">
        <v>6660</v>
      </c>
      <c r="Q551" t="str">
        <f>IF(BikeData[[#This Row],[casual]]+BikeData[[#This Row],[registered]]=BikeData[[#This Row],[cnt]],"OK","Check")</f>
        <v>OK</v>
      </c>
      <c r="R551">
        <f>IF(BikeData[[#This Row],[yr]]=0,2011,2012)</f>
        <v>2012</v>
      </c>
      <c r="S551" t="str">
        <f>CHOOSE(BikeData[[#This Row],[season]],"Winter","Spring","Summer","Fall")</f>
        <v>Summer</v>
      </c>
      <c r="T551" t="str">
        <f>TEXT(DATE(2000,BikeData[[#This Row],[mnth]],1),"mmmm")</f>
        <v>July</v>
      </c>
      <c r="U551" t="str">
        <f>IF(BikeData[[#This Row],[workingday]]=1,"Working Day","Non-working Day")</f>
        <v>Working Day</v>
      </c>
      <c r="V551" t="str">
        <f>CHOOSE(BikeData[[#This Row],[weekday]]+1,"Sunday","Monday","Tuesday","Wednesday","Thursday","Friday","Saturday")</f>
        <v>Tuesday</v>
      </c>
      <c r="W551" t="str">
        <f>CHOOSE(BikeData[[#This Row],[weathersit]],"Clear / Few Clouds","Mist / Cloudy","Light Rain / Snow","Heavy Rain / Snow")</f>
        <v>Clear / Few Clouds</v>
      </c>
    </row>
    <row r="552" spans="1:23" x14ac:dyDescent="0.3">
      <c r="A552">
        <v>551</v>
      </c>
      <c r="B552" s="1">
        <v>41094</v>
      </c>
      <c r="C552">
        <v>3</v>
      </c>
      <c r="D552">
        <v>1</v>
      </c>
      <c r="E552">
        <v>7</v>
      </c>
      <c r="F552">
        <v>1</v>
      </c>
      <c r="G552">
        <v>3</v>
      </c>
      <c r="H552">
        <v>0</v>
      </c>
      <c r="I552">
        <v>1</v>
      </c>
      <c r="J552">
        <v>0.78916699999999995</v>
      </c>
      <c r="K552">
        <v>0.73233700000000002</v>
      </c>
      <c r="L552">
        <v>0.53874999999999995</v>
      </c>
      <c r="M552">
        <v>0.13494999999999999</v>
      </c>
      <c r="N552">
        <v>2562</v>
      </c>
      <c r="O552">
        <v>4841</v>
      </c>
      <c r="P552">
        <v>7403</v>
      </c>
      <c r="Q552" t="str">
        <f>IF(BikeData[[#This Row],[casual]]+BikeData[[#This Row],[registered]]=BikeData[[#This Row],[cnt]],"OK","Check")</f>
        <v>OK</v>
      </c>
      <c r="R552">
        <f>IF(BikeData[[#This Row],[yr]]=0,2011,2012)</f>
        <v>2012</v>
      </c>
      <c r="S552" t="str">
        <f>CHOOSE(BikeData[[#This Row],[season]],"Winter","Spring","Summer","Fall")</f>
        <v>Summer</v>
      </c>
      <c r="T552" t="str">
        <f>TEXT(DATE(2000,BikeData[[#This Row],[mnth]],1),"mmmm")</f>
        <v>July</v>
      </c>
      <c r="U552" t="str">
        <f>IF(BikeData[[#This Row],[workingday]]=1,"Working Day","Non-working Day")</f>
        <v>Non-working Day</v>
      </c>
      <c r="V552" t="str">
        <f>CHOOSE(BikeData[[#This Row],[weekday]]+1,"Sunday","Monday","Tuesday","Wednesday","Thursday","Friday","Saturday")</f>
        <v>Wednesday</v>
      </c>
      <c r="W552" t="str">
        <f>CHOOSE(BikeData[[#This Row],[weathersit]],"Clear / Few Clouds","Mist / Cloudy","Light Rain / Snow","Heavy Rain / Snow")</f>
        <v>Clear / Few Clouds</v>
      </c>
    </row>
    <row r="553" spans="1:23" x14ac:dyDescent="0.3">
      <c r="A553">
        <v>552</v>
      </c>
      <c r="B553" s="1">
        <v>41095</v>
      </c>
      <c r="C553">
        <v>3</v>
      </c>
      <c r="D553">
        <v>1</v>
      </c>
      <c r="E553">
        <v>7</v>
      </c>
      <c r="F553">
        <v>0</v>
      </c>
      <c r="G553">
        <v>4</v>
      </c>
      <c r="H553">
        <v>1</v>
      </c>
      <c r="I553">
        <v>1</v>
      </c>
      <c r="J553">
        <v>0.82750000000000001</v>
      </c>
      <c r="K553">
        <v>0.76136700000000002</v>
      </c>
      <c r="L553">
        <v>0.45791700000000002</v>
      </c>
      <c r="M553">
        <v>0.19402900000000001</v>
      </c>
      <c r="N553">
        <v>1405</v>
      </c>
      <c r="O553">
        <v>4836</v>
      </c>
      <c r="P553">
        <v>6241</v>
      </c>
      <c r="Q553" t="str">
        <f>IF(BikeData[[#This Row],[casual]]+BikeData[[#This Row],[registered]]=BikeData[[#This Row],[cnt]],"OK","Check")</f>
        <v>OK</v>
      </c>
      <c r="R553">
        <f>IF(BikeData[[#This Row],[yr]]=0,2011,2012)</f>
        <v>2012</v>
      </c>
      <c r="S553" t="str">
        <f>CHOOSE(BikeData[[#This Row],[season]],"Winter","Spring","Summer","Fall")</f>
        <v>Summer</v>
      </c>
      <c r="T553" t="str">
        <f>TEXT(DATE(2000,BikeData[[#This Row],[mnth]],1),"mmmm")</f>
        <v>July</v>
      </c>
      <c r="U553" t="str">
        <f>IF(BikeData[[#This Row],[workingday]]=1,"Working Day","Non-working Day")</f>
        <v>Working Day</v>
      </c>
      <c r="V553" t="str">
        <f>CHOOSE(BikeData[[#This Row],[weekday]]+1,"Sunday","Monday","Tuesday","Wednesday","Thursday","Friday","Saturday")</f>
        <v>Thursday</v>
      </c>
      <c r="W553" t="str">
        <f>CHOOSE(BikeData[[#This Row],[weathersit]],"Clear / Few Clouds","Mist / Cloudy","Light Rain / Snow","Heavy Rain / Snow")</f>
        <v>Clear / Few Clouds</v>
      </c>
    </row>
    <row r="554" spans="1:23" x14ac:dyDescent="0.3">
      <c r="A554">
        <v>553</v>
      </c>
      <c r="B554" s="1">
        <v>41096</v>
      </c>
      <c r="C554">
        <v>3</v>
      </c>
      <c r="D554">
        <v>1</v>
      </c>
      <c r="E554">
        <v>7</v>
      </c>
      <c r="F554">
        <v>0</v>
      </c>
      <c r="G554">
        <v>5</v>
      </c>
      <c r="H554">
        <v>1</v>
      </c>
      <c r="I554">
        <v>1</v>
      </c>
      <c r="J554">
        <v>0.82833299999999999</v>
      </c>
      <c r="K554">
        <v>0.75253300000000001</v>
      </c>
      <c r="L554">
        <v>0.45083299999999998</v>
      </c>
      <c r="M554">
        <v>0.14614199999999999</v>
      </c>
      <c r="N554">
        <v>1366</v>
      </c>
      <c r="O554">
        <v>4841</v>
      </c>
      <c r="P554">
        <v>6207</v>
      </c>
      <c r="Q554" t="str">
        <f>IF(BikeData[[#This Row],[casual]]+BikeData[[#This Row],[registered]]=BikeData[[#This Row],[cnt]],"OK","Check")</f>
        <v>OK</v>
      </c>
      <c r="R554">
        <f>IF(BikeData[[#This Row],[yr]]=0,2011,2012)</f>
        <v>2012</v>
      </c>
      <c r="S554" t="str">
        <f>CHOOSE(BikeData[[#This Row],[season]],"Winter","Spring","Summer","Fall")</f>
        <v>Summer</v>
      </c>
      <c r="T554" t="str">
        <f>TEXT(DATE(2000,BikeData[[#This Row],[mnth]],1),"mmmm")</f>
        <v>July</v>
      </c>
      <c r="U554" t="str">
        <f>IF(BikeData[[#This Row],[workingday]]=1,"Working Day","Non-working Day")</f>
        <v>Working Day</v>
      </c>
      <c r="V554" t="str">
        <f>CHOOSE(BikeData[[#This Row],[weekday]]+1,"Sunday","Monday","Tuesday","Wednesday","Thursday","Friday","Saturday")</f>
        <v>Friday</v>
      </c>
      <c r="W554" t="str">
        <f>CHOOSE(BikeData[[#This Row],[weathersit]],"Clear / Few Clouds","Mist / Cloudy","Light Rain / Snow","Heavy Rain / Snow")</f>
        <v>Clear / Few Clouds</v>
      </c>
    </row>
    <row r="555" spans="1:23" x14ac:dyDescent="0.3">
      <c r="A555">
        <v>554</v>
      </c>
      <c r="B555" s="1">
        <v>41097</v>
      </c>
      <c r="C555">
        <v>3</v>
      </c>
      <c r="D555">
        <v>1</v>
      </c>
      <c r="E555">
        <v>7</v>
      </c>
      <c r="F555">
        <v>0</v>
      </c>
      <c r="G555">
        <v>6</v>
      </c>
      <c r="H555">
        <v>0</v>
      </c>
      <c r="I555">
        <v>1</v>
      </c>
      <c r="J555">
        <v>0.86166699999999996</v>
      </c>
      <c r="K555">
        <v>0.80491299999999999</v>
      </c>
      <c r="L555">
        <v>0.49208299999999999</v>
      </c>
      <c r="M555">
        <v>0.163554</v>
      </c>
      <c r="N555">
        <v>1448</v>
      </c>
      <c r="O555">
        <v>3392</v>
      </c>
      <c r="P555">
        <v>4840</v>
      </c>
      <c r="Q555" t="str">
        <f>IF(BikeData[[#This Row],[casual]]+BikeData[[#This Row],[registered]]=BikeData[[#This Row],[cnt]],"OK","Check")</f>
        <v>OK</v>
      </c>
      <c r="R555">
        <f>IF(BikeData[[#This Row],[yr]]=0,2011,2012)</f>
        <v>2012</v>
      </c>
      <c r="S555" t="str">
        <f>CHOOSE(BikeData[[#This Row],[season]],"Winter","Spring","Summer","Fall")</f>
        <v>Summer</v>
      </c>
      <c r="T555" t="str">
        <f>TEXT(DATE(2000,BikeData[[#This Row],[mnth]],1),"mmmm")</f>
        <v>July</v>
      </c>
      <c r="U555" t="str">
        <f>IF(BikeData[[#This Row],[workingday]]=1,"Working Day","Non-working Day")</f>
        <v>Non-working Day</v>
      </c>
      <c r="V555" t="str">
        <f>CHOOSE(BikeData[[#This Row],[weekday]]+1,"Sunday","Monday","Tuesday","Wednesday","Thursday","Friday","Saturday")</f>
        <v>Saturday</v>
      </c>
      <c r="W555" t="str">
        <f>CHOOSE(BikeData[[#This Row],[weathersit]],"Clear / Few Clouds","Mist / Cloudy","Light Rain / Snow","Heavy Rain / Snow")</f>
        <v>Clear / Few Clouds</v>
      </c>
    </row>
    <row r="556" spans="1:23" x14ac:dyDescent="0.3">
      <c r="A556">
        <v>555</v>
      </c>
      <c r="B556" s="1">
        <v>41098</v>
      </c>
      <c r="C556">
        <v>3</v>
      </c>
      <c r="D556">
        <v>1</v>
      </c>
      <c r="E556">
        <v>7</v>
      </c>
      <c r="F556">
        <v>0</v>
      </c>
      <c r="G556">
        <v>0</v>
      </c>
      <c r="H556">
        <v>0</v>
      </c>
      <c r="I556">
        <v>1</v>
      </c>
      <c r="J556">
        <v>0.82250000000000001</v>
      </c>
      <c r="K556">
        <v>0.79039599999999999</v>
      </c>
      <c r="L556">
        <v>0.57374999999999998</v>
      </c>
      <c r="M556">
        <v>0.12562899999999999</v>
      </c>
      <c r="N556">
        <v>1203</v>
      </c>
      <c r="O556">
        <v>3469</v>
      </c>
      <c r="P556">
        <v>4672</v>
      </c>
      <c r="Q556" t="str">
        <f>IF(BikeData[[#This Row],[casual]]+BikeData[[#This Row],[registered]]=BikeData[[#This Row],[cnt]],"OK","Check")</f>
        <v>OK</v>
      </c>
      <c r="R556">
        <f>IF(BikeData[[#This Row],[yr]]=0,2011,2012)</f>
        <v>2012</v>
      </c>
      <c r="S556" t="str">
        <f>CHOOSE(BikeData[[#This Row],[season]],"Winter","Spring","Summer","Fall")</f>
        <v>Summer</v>
      </c>
      <c r="T556" t="str">
        <f>TEXT(DATE(2000,BikeData[[#This Row],[mnth]],1),"mmmm")</f>
        <v>July</v>
      </c>
      <c r="U556" t="str">
        <f>IF(BikeData[[#This Row],[workingday]]=1,"Working Day","Non-working Day")</f>
        <v>Non-working Day</v>
      </c>
      <c r="V556" t="str">
        <f>CHOOSE(BikeData[[#This Row],[weekday]]+1,"Sunday","Monday","Tuesday","Wednesday","Thursday","Friday","Saturday")</f>
        <v>Sunday</v>
      </c>
      <c r="W556" t="str">
        <f>CHOOSE(BikeData[[#This Row],[weathersit]],"Clear / Few Clouds","Mist / Cloudy","Light Rain / Snow","Heavy Rain / Snow")</f>
        <v>Clear / Few Clouds</v>
      </c>
    </row>
    <row r="557" spans="1:23" x14ac:dyDescent="0.3">
      <c r="A557">
        <v>556</v>
      </c>
      <c r="B557" s="1">
        <v>41099</v>
      </c>
      <c r="C557">
        <v>3</v>
      </c>
      <c r="D557">
        <v>1</v>
      </c>
      <c r="E557">
        <v>7</v>
      </c>
      <c r="F557">
        <v>0</v>
      </c>
      <c r="G557">
        <v>1</v>
      </c>
      <c r="H557">
        <v>1</v>
      </c>
      <c r="I557">
        <v>2</v>
      </c>
      <c r="J557">
        <v>0.71083300000000005</v>
      </c>
      <c r="K557">
        <v>0.65405400000000002</v>
      </c>
      <c r="L557">
        <v>0.68333299999999997</v>
      </c>
      <c r="M557">
        <v>0.180975</v>
      </c>
      <c r="N557">
        <v>998</v>
      </c>
      <c r="O557">
        <v>5571</v>
      </c>
      <c r="P557">
        <v>6569</v>
      </c>
      <c r="Q557" t="str">
        <f>IF(BikeData[[#This Row],[casual]]+BikeData[[#This Row],[registered]]=BikeData[[#This Row],[cnt]],"OK","Check")</f>
        <v>OK</v>
      </c>
      <c r="R557">
        <f>IF(BikeData[[#This Row],[yr]]=0,2011,2012)</f>
        <v>2012</v>
      </c>
      <c r="S557" t="str">
        <f>CHOOSE(BikeData[[#This Row],[season]],"Winter","Spring","Summer","Fall")</f>
        <v>Summer</v>
      </c>
      <c r="T557" t="str">
        <f>TEXT(DATE(2000,BikeData[[#This Row],[mnth]],1),"mmmm")</f>
        <v>July</v>
      </c>
      <c r="U557" t="str">
        <f>IF(BikeData[[#This Row],[workingday]]=1,"Working Day","Non-working Day")</f>
        <v>Working Day</v>
      </c>
      <c r="V557" t="str">
        <f>CHOOSE(BikeData[[#This Row],[weekday]]+1,"Sunday","Monday","Tuesday","Wednesday","Thursday","Friday","Saturday")</f>
        <v>Monday</v>
      </c>
      <c r="W557" t="str">
        <f>CHOOSE(BikeData[[#This Row],[weathersit]],"Clear / Few Clouds","Mist / Cloudy","Light Rain / Snow","Heavy Rain / Snow")</f>
        <v>Mist / Cloudy</v>
      </c>
    </row>
    <row r="558" spans="1:23" x14ac:dyDescent="0.3">
      <c r="A558">
        <v>557</v>
      </c>
      <c r="B558" s="1">
        <v>41100</v>
      </c>
      <c r="C558">
        <v>3</v>
      </c>
      <c r="D558">
        <v>1</v>
      </c>
      <c r="E558">
        <v>7</v>
      </c>
      <c r="F558">
        <v>0</v>
      </c>
      <c r="G558">
        <v>2</v>
      </c>
      <c r="H558">
        <v>1</v>
      </c>
      <c r="I558">
        <v>2</v>
      </c>
      <c r="J558">
        <v>0.72083299999999995</v>
      </c>
      <c r="K558">
        <v>0.66479600000000005</v>
      </c>
      <c r="L558">
        <v>0.66749999999999998</v>
      </c>
      <c r="M558">
        <v>0.15173700000000001</v>
      </c>
      <c r="N558">
        <v>954</v>
      </c>
      <c r="O558">
        <v>5336</v>
      </c>
      <c r="P558">
        <v>6290</v>
      </c>
      <c r="Q558" t="str">
        <f>IF(BikeData[[#This Row],[casual]]+BikeData[[#This Row],[registered]]=BikeData[[#This Row],[cnt]],"OK","Check")</f>
        <v>OK</v>
      </c>
      <c r="R558">
        <f>IF(BikeData[[#This Row],[yr]]=0,2011,2012)</f>
        <v>2012</v>
      </c>
      <c r="S558" t="str">
        <f>CHOOSE(BikeData[[#This Row],[season]],"Winter","Spring","Summer","Fall")</f>
        <v>Summer</v>
      </c>
      <c r="T558" t="str">
        <f>TEXT(DATE(2000,BikeData[[#This Row],[mnth]],1),"mmmm")</f>
        <v>July</v>
      </c>
      <c r="U558" t="str">
        <f>IF(BikeData[[#This Row],[workingday]]=1,"Working Day","Non-working Day")</f>
        <v>Working Day</v>
      </c>
      <c r="V558" t="str">
        <f>CHOOSE(BikeData[[#This Row],[weekday]]+1,"Sunday","Monday","Tuesday","Wednesday","Thursday","Friday","Saturday")</f>
        <v>Tuesday</v>
      </c>
      <c r="W558" t="str">
        <f>CHOOSE(BikeData[[#This Row],[weathersit]],"Clear / Few Clouds","Mist / Cloudy","Light Rain / Snow","Heavy Rain / Snow")</f>
        <v>Mist / Cloudy</v>
      </c>
    </row>
    <row r="559" spans="1:23" x14ac:dyDescent="0.3">
      <c r="A559">
        <v>558</v>
      </c>
      <c r="B559" s="1">
        <v>41101</v>
      </c>
      <c r="C559">
        <v>3</v>
      </c>
      <c r="D559">
        <v>1</v>
      </c>
      <c r="E559">
        <v>7</v>
      </c>
      <c r="F559">
        <v>0</v>
      </c>
      <c r="G559">
        <v>3</v>
      </c>
      <c r="H559">
        <v>1</v>
      </c>
      <c r="I559">
        <v>1</v>
      </c>
      <c r="J559">
        <v>0.71666700000000005</v>
      </c>
      <c r="K559">
        <v>0.65027100000000004</v>
      </c>
      <c r="L559">
        <v>0.63333300000000003</v>
      </c>
      <c r="M559">
        <v>0.15173300000000001</v>
      </c>
      <c r="N559">
        <v>975</v>
      </c>
      <c r="O559">
        <v>6289</v>
      </c>
      <c r="P559">
        <v>7264</v>
      </c>
      <c r="Q559" t="str">
        <f>IF(BikeData[[#This Row],[casual]]+BikeData[[#This Row],[registered]]=BikeData[[#This Row],[cnt]],"OK","Check")</f>
        <v>OK</v>
      </c>
      <c r="R559">
        <f>IF(BikeData[[#This Row],[yr]]=0,2011,2012)</f>
        <v>2012</v>
      </c>
      <c r="S559" t="str">
        <f>CHOOSE(BikeData[[#This Row],[season]],"Winter","Spring","Summer","Fall")</f>
        <v>Summer</v>
      </c>
      <c r="T559" t="str">
        <f>TEXT(DATE(2000,BikeData[[#This Row],[mnth]],1),"mmmm")</f>
        <v>July</v>
      </c>
      <c r="U559" t="str">
        <f>IF(BikeData[[#This Row],[workingday]]=1,"Working Day","Non-working Day")</f>
        <v>Working Day</v>
      </c>
      <c r="V559" t="str">
        <f>CHOOSE(BikeData[[#This Row],[weekday]]+1,"Sunday","Monday","Tuesday","Wednesday","Thursday","Friday","Saturday")</f>
        <v>Wednesday</v>
      </c>
      <c r="W559" t="str">
        <f>CHOOSE(BikeData[[#This Row],[weathersit]],"Clear / Few Clouds","Mist / Cloudy","Light Rain / Snow","Heavy Rain / Snow")</f>
        <v>Clear / Few Clouds</v>
      </c>
    </row>
    <row r="560" spans="1:23" x14ac:dyDescent="0.3">
      <c r="A560">
        <v>559</v>
      </c>
      <c r="B560" s="1">
        <v>41102</v>
      </c>
      <c r="C560">
        <v>3</v>
      </c>
      <c r="D560">
        <v>1</v>
      </c>
      <c r="E560">
        <v>7</v>
      </c>
      <c r="F560">
        <v>0</v>
      </c>
      <c r="G560">
        <v>4</v>
      </c>
      <c r="H560">
        <v>1</v>
      </c>
      <c r="I560">
        <v>1</v>
      </c>
      <c r="J560">
        <v>0.71583300000000005</v>
      </c>
      <c r="K560">
        <v>0.65468300000000001</v>
      </c>
      <c r="L560">
        <v>0.52958300000000003</v>
      </c>
      <c r="M560">
        <v>0.14677499999999999</v>
      </c>
      <c r="N560">
        <v>1032</v>
      </c>
      <c r="O560">
        <v>6414</v>
      </c>
      <c r="P560">
        <v>7446</v>
      </c>
      <c r="Q560" t="str">
        <f>IF(BikeData[[#This Row],[casual]]+BikeData[[#This Row],[registered]]=BikeData[[#This Row],[cnt]],"OK","Check")</f>
        <v>OK</v>
      </c>
      <c r="R560">
        <f>IF(BikeData[[#This Row],[yr]]=0,2011,2012)</f>
        <v>2012</v>
      </c>
      <c r="S560" t="str">
        <f>CHOOSE(BikeData[[#This Row],[season]],"Winter","Spring","Summer","Fall")</f>
        <v>Summer</v>
      </c>
      <c r="T560" t="str">
        <f>TEXT(DATE(2000,BikeData[[#This Row],[mnth]],1),"mmmm")</f>
        <v>July</v>
      </c>
      <c r="U560" t="str">
        <f>IF(BikeData[[#This Row],[workingday]]=1,"Working Day","Non-working Day")</f>
        <v>Working Day</v>
      </c>
      <c r="V560" t="str">
        <f>CHOOSE(BikeData[[#This Row],[weekday]]+1,"Sunday","Monday","Tuesday","Wednesday","Thursday","Friday","Saturday")</f>
        <v>Thursday</v>
      </c>
      <c r="W560" t="str">
        <f>CHOOSE(BikeData[[#This Row],[weathersit]],"Clear / Few Clouds","Mist / Cloudy","Light Rain / Snow","Heavy Rain / Snow")</f>
        <v>Clear / Few Clouds</v>
      </c>
    </row>
    <row r="561" spans="1:23" x14ac:dyDescent="0.3">
      <c r="A561">
        <v>560</v>
      </c>
      <c r="B561" s="1">
        <v>41103</v>
      </c>
      <c r="C561">
        <v>3</v>
      </c>
      <c r="D561">
        <v>1</v>
      </c>
      <c r="E561">
        <v>7</v>
      </c>
      <c r="F561">
        <v>0</v>
      </c>
      <c r="G561">
        <v>5</v>
      </c>
      <c r="H561">
        <v>1</v>
      </c>
      <c r="I561">
        <v>2</v>
      </c>
      <c r="J561">
        <v>0.73166699999999996</v>
      </c>
      <c r="K561">
        <v>0.667933</v>
      </c>
      <c r="L561">
        <v>0.48583300000000001</v>
      </c>
      <c r="M561">
        <v>8.0850000000000005E-2</v>
      </c>
      <c r="N561">
        <v>1511</v>
      </c>
      <c r="O561">
        <v>5988</v>
      </c>
      <c r="P561">
        <v>7499</v>
      </c>
      <c r="Q561" t="str">
        <f>IF(BikeData[[#This Row],[casual]]+BikeData[[#This Row],[registered]]=BikeData[[#This Row],[cnt]],"OK","Check")</f>
        <v>OK</v>
      </c>
      <c r="R561">
        <f>IF(BikeData[[#This Row],[yr]]=0,2011,2012)</f>
        <v>2012</v>
      </c>
      <c r="S561" t="str">
        <f>CHOOSE(BikeData[[#This Row],[season]],"Winter","Spring","Summer","Fall")</f>
        <v>Summer</v>
      </c>
      <c r="T561" t="str">
        <f>TEXT(DATE(2000,BikeData[[#This Row],[mnth]],1),"mmmm")</f>
        <v>July</v>
      </c>
      <c r="U561" t="str">
        <f>IF(BikeData[[#This Row],[workingday]]=1,"Working Day","Non-working Day")</f>
        <v>Working Day</v>
      </c>
      <c r="V561" t="str">
        <f>CHOOSE(BikeData[[#This Row],[weekday]]+1,"Sunday","Monday","Tuesday","Wednesday","Thursday","Friday","Saturday")</f>
        <v>Friday</v>
      </c>
      <c r="W561" t="str">
        <f>CHOOSE(BikeData[[#This Row],[weathersit]],"Clear / Few Clouds","Mist / Cloudy","Light Rain / Snow","Heavy Rain / Snow")</f>
        <v>Mist / Cloudy</v>
      </c>
    </row>
    <row r="562" spans="1:23" x14ac:dyDescent="0.3">
      <c r="A562">
        <v>561</v>
      </c>
      <c r="B562" s="1">
        <v>41104</v>
      </c>
      <c r="C562">
        <v>3</v>
      </c>
      <c r="D562">
        <v>1</v>
      </c>
      <c r="E562">
        <v>7</v>
      </c>
      <c r="F562">
        <v>0</v>
      </c>
      <c r="G562">
        <v>6</v>
      </c>
      <c r="H562">
        <v>0</v>
      </c>
      <c r="I562">
        <v>2</v>
      </c>
      <c r="J562">
        <v>0.70333299999999999</v>
      </c>
      <c r="K562">
        <v>0.66604200000000002</v>
      </c>
      <c r="L562">
        <v>0.69916699999999998</v>
      </c>
      <c r="M562">
        <v>0.143679</v>
      </c>
      <c r="N562">
        <v>2355</v>
      </c>
      <c r="O562">
        <v>4614</v>
      </c>
      <c r="P562">
        <v>6969</v>
      </c>
      <c r="Q562" t="str">
        <f>IF(BikeData[[#This Row],[casual]]+BikeData[[#This Row],[registered]]=BikeData[[#This Row],[cnt]],"OK","Check")</f>
        <v>OK</v>
      </c>
      <c r="R562">
        <f>IF(BikeData[[#This Row],[yr]]=0,2011,2012)</f>
        <v>2012</v>
      </c>
      <c r="S562" t="str">
        <f>CHOOSE(BikeData[[#This Row],[season]],"Winter","Spring","Summer","Fall")</f>
        <v>Summer</v>
      </c>
      <c r="T562" t="str">
        <f>TEXT(DATE(2000,BikeData[[#This Row],[mnth]],1),"mmmm")</f>
        <v>July</v>
      </c>
      <c r="U562" t="str">
        <f>IF(BikeData[[#This Row],[workingday]]=1,"Working Day","Non-working Day")</f>
        <v>Non-working Day</v>
      </c>
      <c r="V562" t="str">
        <f>CHOOSE(BikeData[[#This Row],[weekday]]+1,"Sunday","Monday","Tuesday","Wednesday","Thursday","Friday","Saturday")</f>
        <v>Saturday</v>
      </c>
      <c r="W562" t="str">
        <f>CHOOSE(BikeData[[#This Row],[weathersit]],"Clear / Few Clouds","Mist / Cloudy","Light Rain / Snow","Heavy Rain / Snow")</f>
        <v>Mist / Cloudy</v>
      </c>
    </row>
    <row r="563" spans="1:23" x14ac:dyDescent="0.3">
      <c r="A563">
        <v>562</v>
      </c>
      <c r="B563" s="1">
        <v>41105</v>
      </c>
      <c r="C563">
        <v>3</v>
      </c>
      <c r="D563">
        <v>1</v>
      </c>
      <c r="E563">
        <v>7</v>
      </c>
      <c r="F563">
        <v>0</v>
      </c>
      <c r="G563">
        <v>0</v>
      </c>
      <c r="H563">
        <v>0</v>
      </c>
      <c r="I563">
        <v>1</v>
      </c>
      <c r="J563">
        <v>0.74583299999999997</v>
      </c>
      <c r="K563">
        <v>0.70519600000000005</v>
      </c>
      <c r="L563">
        <v>0.71791700000000003</v>
      </c>
      <c r="M563">
        <v>0.16666700000000001</v>
      </c>
      <c r="N563">
        <v>1920</v>
      </c>
      <c r="O563">
        <v>4111</v>
      </c>
      <c r="P563">
        <v>6031</v>
      </c>
      <c r="Q563" t="str">
        <f>IF(BikeData[[#This Row],[casual]]+BikeData[[#This Row],[registered]]=BikeData[[#This Row],[cnt]],"OK","Check")</f>
        <v>OK</v>
      </c>
      <c r="R563">
        <f>IF(BikeData[[#This Row],[yr]]=0,2011,2012)</f>
        <v>2012</v>
      </c>
      <c r="S563" t="str">
        <f>CHOOSE(BikeData[[#This Row],[season]],"Winter","Spring","Summer","Fall")</f>
        <v>Summer</v>
      </c>
      <c r="T563" t="str">
        <f>TEXT(DATE(2000,BikeData[[#This Row],[mnth]],1),"mmmm")</f>
        <v>July</v>
      </c>
      <c r="U563" t="str">
        <f>IF(BikeData[[#This Row],[workingday]]=1,"Working Day","Non-working Day")</f>
        <v>Non-working Day</v>
      </c>
      <c r="V563" t="str">
        <f>CHOOSE(BikeData[[#This Row],[weekday]]+1,"Sunday","Monday","Tuesday","Wednesday","Thursday","Friday","Saturday")</f>
        <v>Sunday</v>
      </c>
      <c r="W563" t="str">
        <f>CHOOSE(BikeData[[#This Row],[weathersit]],"Clear / Few Clouds","Mist / Cloudy","Light Rain / Snow","Heavy Rain / Snow")</f>
        <v>Clear / Few Clouds</v>
      </c>
    </row>
    <row r="564" spans="1:23" x14ac:dyDescent="0.3">
      <c r="A564">
        <v>563</v>
      </c>
      <c r="B564" s="1">
        <v>41106</v>
      </c>
      <c r="C564">
        <v>3</v>
      </c>
      <c r="D564">
        <v>1</v>
      </c>
      <c r="E564">
        <v>7</v>
      </c>
      <c r="F564">
        <v>0</v>
      </c>
      <c r="G564">
        <v>1</v>
      </c>
      <c r="H564">
        <v>1</v>
      </c>
      <c r="I564">
        <v>1</v>
      </c>
      <c r="J564">
        <v>0.76333300000000004</v>
      </c>
      <c r="K564">
        <v>0.72412500000000002</v>
      </c>
      <c r="L564">
        <v>0.64500000000000002</v>
      </c>
      <c r="M564">
        <v>0.164187</v>
      </c>
      <c r="N564">
        <v>1088</v>
      </c>
      <c r="O564">
        <v>5742</v>
      </c>
      <c r="P564">
        <v>6830</v>
      </c>
      <c r="Q564" t="str">
        <f>IF(BikeData[[#This Row],[casual]]+BikeData[[#This Row],[registered]]=BikeData[[#This Row],[cnt]],"OK","Check")</f>
        <v>OK</v>
      </c>
      <c r="R564">
        <f>IF(BikeData[[#This Row],[yr]]=0,2011,2012)</f>
        <v>2012</v>
      </c>
      <c r="S564" t="str">
        <f>CHOOSE(BikeData[[#This Row],[season]],"Winter","Spring","Summer","Fall")</f>
        <v>Summer</v>
      </c>
      <c r="T564" t="str">
        <f>TEXT(DATE(2000,BikeData[[#This Row],[mnth]],1),"mmmm")</f>
        <v>July</v>
      </c>
      <c r="U564" t="str">
        <f>IF(BikeData[[#This Row],[workingday]]=1,"Working Day","Non-working Day")</f>
        <v>Working Day</v>
      </c>
      <c r="V564" t="str">
        <f>CHOOSE(BikeData[[#This Row],[weekday]]+1,"Sunday","Monday","Tuesday","Wednesday","Thursday","Friday","Saturday")</f>
        <v>Monday</v>
      </c>
      <c r="W564" t="str">
        <f>CHOOSE(BikeData[[#This Row],[weathersit]],"Clear / Few Clouds","Mist / Cloudy","Light Rain / Snow","Heavy Rain / Snow")</f>
        <v>Clear / Few Clouds</v>
      </c>
    </row>
    <row r="565" spans="1:23" x14ac:dyDescent="0.3">
      <c r="A565">
        <v>564</v>
      </c>
      <c r="B565" s="1">
        <v>41107</v>
      </c>
      <c r="C565">
        <v>3</v>
      </c>
      <c r="D565">
        <v>1</v>
      </c>
      <c r="E565">
        <v>7</v>
      </c>
      <c r="F565">
        <v>0</v>
      </c>
      <c r="G565">
        <v>2</v>
      </c>
      <c r="H565">
        <v>1</v>
      </c>
      <c r="I565">
        <v>1</v>
      </c>
      <c r="J565">
        <v>0.81833299999999998</v>
      </c>
      <c r="K565">
        <v>0.75568299999999999</v>
      </c>
      <c r="L565">
        <v>0.50583299999999998</v>
      </c>
      <c r="M565">
        <v>0.114429</v>
      </c>
      <c r="N565">
        <v>921</v>
      </c>
      <c r="O565">
        <v>5865</v>
      </c>
      <c r="P565">
        <v>6786</v>
      </c>
      <c r="Q565" t="str">
        <f>IF(BikeData[[#This Row],[casual]]+BikeData[[#This Row],[registered]]=BikeData[[#This Row],[cnt]],"OK","Check")</f>
        <v>OK</v>
      </c>
      <c r="R565">
        <f>IF(BikeData[[#This Row],[yr]]=0,2011,2012)</f>
        <v>2012</v>
      </c>
      <c r="S565" t="str">
        <f>CHOOSE(BikeData[[#This Row],[season]],"Winter","Spring","Summer","Fall")</f>
        <v>Summer</v>
      </c>
      <c r="T565" t="str">
        <f>TEXT(DATE(2000,BikeData[[#This Row],[mnth]],1),"mmmm")</f>
        <v>July</v>
      </c>
      <c r="U565" t="str">
        <f>IF(BikeData[[#This Row],[workingday]]=1,"Working Day","Non-working Day")</f>
        <v>Working Day</v>
      </c>
      <c r="V565" t="str">
        <f>CHOOSE(BikeData[[#This Row],[weekday]]+1,"Sunday","Monday","Tuesday","Wednesday","Thursday","Friday","Saturday")</f>
        <v>Tuesday</v>
      </c>
      <c r="W565" t="str">
        <f>CHOOSE(BikeData[[#This Row],[weathersit]],"Clear / Few Clouds","Mist / Cloudy","Light Rain / Snow","Heavy Rain / Snow")</f>
        <v>Clear / Few Clouds</v>
      </c>
    </row>
    <row r="566" spans="1:23" x14ac:dyDescent="0.3">
      <c r="A566">
        <v>565</v>
      </c>
      <c r="B566" s="1">
        <v>41108</v>
      </c>
      <c r="C566">
        <v>3</v>
      </c>
      <c r="D566">
        <v>1</v>
      </c>
      <c r="E566">
        <v>7</v>
      </c>
      <c r="F566">
        <v>0</v>
      </c>
      <c r="G566">
        <v>3</v>
      </c>
      <c r="H566">
        <v>1</v>
      </c>
      <c r="I566">
        <v>1</v>
      </c>
      <c r="J566">
        <v>0.79333299999999995</v>
      </c>
      <c r="K566">
        <v>0.745583</v>
      </c>
      <c r="L566">
        <v>0.57708300000000001</v>
      </c>
      <c r="M566">
        <v>0.13744200000000001</v>
      </c>
      <c r="N566">
        <v>799</v>
      </c>
      <c r="O566">
        <v>4914</v>
      </c>
      <c r="P566">
        <v>5713</v>
      </c>
      <c r="Q566" t="str">
        <f>IF(BikeData[[#This Row],[casual]]+BikeData[[#This Row],[registered]]=BikeData[[#This Row],[cnt]],"OK","Check")</f>
        <v>OK</v>
      </c>
      <c r="R566">
        <f>IF(BikeData[[#This Row],[yr]]=0,2011,2012)</f>
        <v>2012</v>
      </c>
      <c r="S566" t="str">
        <f>CHOOSE(BikeData[[#This Row],[season]],"Winter","Spring","Summer","Fall")</f>
        <v>Summer</v>
      </c>
      <c r="T566" t="str">
        <f>TEXT(DATE(2000,BikeData[[#This Row],[mnth]],1),"mmmm")</f>
        <v>July</v>
      </c>
      <c r="U566" t="str">
        <f>IF(BikeData[[#This Row],[workingday]]=1,"Working Day","Non-working Day")</f>
        <v>Working Day</v>
      </c>
      <c r="V566" t="str">
        <f>CHOOSE(BikeData[[#This Row],[weekday]]+1,"Sunday","Monday","Tuesday","Wednesday","Thursday","Friday","Saturday")</f>
        <v>Wednesday</v>
      </c>
      <c r="W566" t="str">
        <f>CHOOSE(BikeData[[#This Row],[weathersit]],"Clear / Few Clouds","Mist / Cloudy","Light Rain / Snow","Heavy Rain / Snow")</f>
        <v>Clear / Few Clouds</v>
      </c>
    </row>
    <row r="567" spans="1:23" x14ac:dyDescent="0.3">
      <c r="A567">
        <v>566</v>
      </c>
      <c r="B567" s="1">
        <v>41109</v>
      </c>
      <c r="C567">
        <v>3</v>
      </c>
      <c r="D567">
        <v>1</v>
      </c>
      <c r="E567">
        <v>7</v>
      </c>
      <c r="F567">
        <v>0</v>
      </c>
      <c r="G567">
        <v>4</v>
      </c>
      <c r="H567">
        <v>1</v>
      </c>
      <c r="I567">
        <v>1</v>
      </c>
      <c r="J567">
        <v>0.77</v>
      </c>
      <c r="K567">
        <v>0.714642</v>
      </c>
      <c r="L567">
        <v>0.60041699999999998</v>
      </c>
      <c r="M567">
        <v>0.16542899999999999</v>
      </c>
      <c r="N567">
        <v>888</v>
      </c>
      <c r="O567">
        <v>5703</v>
      </c>
      <c r="P567">
        <v>6591</v>
      </c>
      <c r="Q567" t="str">
        <f>IF(BikeData[[#This Row],[casual]]+BikeData[[#This Row],[registered]]=BikeData[[#This Row],[cnt]],"OK","Check")</f>
        <v>OK</v>
      </c>
      <c r="R567">
        <f>IF(BikeData[[#This Row],[yr]]=0,2011,2012)</f>
        <v>2012</v>
      </c>
      <c r="S567" t="str">
        <f>CHOOSE(BikeData[[#This Row],[season]],"Winter","Spring","Summer","Fall")</f>
        <v>Summer</v>
      </c>
      <c r="T567" t="str">
        <f>TEXT(DATE(2000,BikeData[[#This Row],[mnth]],1),"mmmm")</f>
        <v>July</v>
      </c>
      <c r="U567" t="str">
        <f>IF(BikeData[[#This Row],[workingday]]=1,"Working Day","Non-working Day")</f>
        <v>Working Day</v>
      </c>
      <c r="V567" t="str">
        <f>CHOOSE(BikeData[[#This Row],[weekday]]+1,"Sunday","Monday","Tuesday","Wednesday","Thursday","Friday","Saturday")</f>
        <v>Thursday</v>
      </c>
      <c r="W567" t="str">
        <f>CHOOSE(BikeData[[#This Row],[weathersit]],"Clear / Few Clouds","Mist / Cloudy","Light Rain / Snow","Heavy Rain / Snow")</f>
        <v>Clear / Few Clouds</v>
      </c>
    </row>
    <row r="568" spans="1:23" x14ac:dyDescent="0.3">
      <c r="A568">
        <v>567</v>
      </c>
      <c r="B568" s="1">
        <v>41110</v>
      </c>
      <c r="C568">
        <v>3</v>
      </c>
      <c r="D568">
        <v>1</v>
      </c>
      <c r="E568">
        <v>7</v>
      </c>
      <c r="F568">
        <v>0</v>
      </c>
      <c r="G568">
        <v>5</v>
      </c>
      <c r="H568">
        <v>1</v>
      </c>
      <c r="I568">
        <v>2</v>
      </c>
      <c r="J568">
        <v>0.66583300000000001</v>
      </c>
      <c r="K568">
        <v>0.61302500000000004</v>
      </c>
      <c r="L568">
        <v>0.844167</v>
      </c>
      <c r="M568">
        <v>0.20896700000000001</v>
      </c>
      <c r="N568">
        <v>747</v>
      </c>
      <c r="O568">
        <v>5123</v>
      </c>
      <c r="P568">
        <v>5870</v>
      </c>
      <c r="Q568" t="str">
        <f>IF(BikeData[[#This Row],[casual]]+BikeData[[#This Row],[registered]]=BikeData[[#This Row],[cnt]],"OK","Check")</f>
        <v>OK</v>
      </c>
      <c r="R568">
        <f>IF(BikeData[[#This Row],[yr]]=0,2011,2012)</f>
        <v>2012</v>
      </c>
      <c r="S568" t="str">
        <f>CHOOSE(BikeData[[#This Row],[season]],"Winter","Spring","Summer","Fall")</f>
        <v>Summer</v>
      </c>
      <c r="T568" t="str">
        <f>TEXT(DATE(2000,BikeData[[#This Row],[mnth]],1),"mmmm")</f>
        <v>July</v>
      </c>
      <c r="U568" t="str">
        <f>IF(BikeData[[#This Row],[workingday]]=1,"Working Day","Non-working Day")</f>
        <v>Working Day</v>
      </c>
      <c r="V568" t="str">
        <f>CHOOSE(BikeData[[#This Row],[weekday]]+1,"Sunday","Monday","Tuesday","Wednesday","Thursday","Friday","Saturday")</f>
        <v>Friday</v>
      </c>
      <c r="W568" t="str">
        <f>CHOOSE(BikeData[[#This Row],[weathersit]],"Clear / Few Clouds","Mist / Cloudy","Light Rain / Snow","Heavy Rain / Snow")</f>
        <v>Mist / Cloudy</v>
      </c>
    </row>
    <row r="569" spans="1:23" x14ac:dyDescent="0.3">
      <c r="A569">
        <v>568</v>
      </c>
      <c r="B569" s="1">
        <v>41111</v>
      </c>
      <c r="C569">
        <v>3</v>
      </c>
      <c r="D569">
        <v>1</v>
      </c>
      <c r="E569">
        <v>7</v>
      </c>
      <c r="F569">
        <v>0</v>
      </c>
      <c r="G569">
        <v>6</v>
      </c>
      <c r="H569">
        <v>0</v>
      </c>
      <c r="I569">
        <v>3</v>
      </c>
      <c r="J569">
        <v>0.59583299999999995</v>
      </c>
      <c r="K569">
        <v>0.54991199999999996</v>
      </c>
      <c r="L569">
        <v>0.86541699999999999</v>
      </c>
      <c r="M569">
        <v>0.21329999999999999</v>
      </c>
      <c r="N569">
        <v>1264</v>
      </c>
      <c r="O569">
        <v>3195</v>
      </c>
      <c r="P569">
        <v>4459</v>
      </c>
      <c r="Q569" t="str">
        <f>IF(BikeData[[#This Row],[casual]]+BikeData[[#This Row],[registered]]=BikeData[[#This Row],[cnt]],"OK","Check")</f>
        <v>OK</v>
      </c>
      <c r="R569">
        <f>IF(BikeData[[#This Row],[yr]]=0,2011,2012)</f>
        <v>2012</v>
      </c>
      <c r="S569" t="str">
        <f>CHOOSE(BikeData[[#This Row],[season]],"Winter","Spring","Summer","Fall")</f>
        <v>Summer</v>
      </c>
      <c r="T569" t="str">
        <f>TEXT(DATE(2000,BikeData[[#This Row],[mnth]],1),"mmmm")</f>
        <v>July</v>
      </c>
      <c r="U569" t="str">
        <f>IF(BikeData[[#This Row],[workingday]]=1,"Working Day","Non-working Day")</f>
        <v>Non-working Day</v>
      </c>
      <c r="V569" t="str">
        <f>CHOOSE(BikeData[[#This Row],[weekday]]+1,"Sunday","Monday","Tuesday","Wednesday","Thursday","Friday","Saturday")</f>
        <v>Saturday</v>
      </c>
      <c r="W569" t="str">
        <f>CHOOSE(BikeData[[#This Row],[weathersit]],"Clear / Few Clouds","Mist / Cloudy","Light Rain / Snow","Heavy Rain / Snow")</f>
        <v>Light Rain / Snow</v>
      </c>
    </row>
    <row r="570" spans="1:23" x14ac:dyDescent="0.3">
      <c r="A570">
        <v>569</v>
      </c>
      <c r="B570" s="1">
        <v>41112</v>
      </c>
      <c r="C570">
        <v>3</v>
      </c>
      <c r="D570">
        <v>1</v>
      </c>
      <c r="E570">
        <v>7</v>
      </c>
      <c r="F570">
        <v>0</v>
      </c>
      <c r="G570">
        <v>0</v>
      </c>
      <c r="H570">
        <v>0</v>
      </c>
      <c r="I570">
        <v>2</v>
      </c>
      <c r="J570">
        <v>0.66749999999999998</v>
      </c>
      <c r="K570">
        <v>0.62312500000000004</v>
      </c>
      <c r="L570">
        <v>0.76249999999999996</v>
      </c>
      <c r="M570">
        <v>9.3920799999999999E-2</v>
      </c>
      <c r="N570">
        <v>2544</v>
      </c>
      <c r="O570">
        <v>4866</v>
      </c>
      <c r="P570">
        <v>7410</v>
      </c>
      <c r="Q570" t="str">
        <f>IF(BikeData[[#This Row],[casual]]+BikeData[[#This Row],[registered]]=BikeData[[#This Row],[cnt]],"OK","Check")</f>
        <v>OK</v>
      </c>
      <c r="R570">
        <f>IF(BikeData[[#This Row],[yr]]=0,2011,2012)</f>
        <v>2012</v>
      </c>
      <c r="S570" t="str">
        <f>CHOOSE(BikeData[[#This Row],[season]],"Winter","Spring","Summer","Fall")</f>
        <v>Summer</v>
      </c>
      <c r="T570" t="str">
        <f>TEXT(DATE(2000,BikeData[[#This Row],[mnth]],1),"mmmm")</f>
        <v>July</v>
      </c>
      <c r="U570" t="str">
        <f>IF(BikeData[[#This Row],[workingday]]=1,"Working Day","Non-working Day")</f>
        <v>Non-working Day</v>
      </c>
      <c r="V570" t="str">
        <f>CHOOSE(BikeData[[#This Row],[weekday]]+1,"Sunday","Monday","Tuesday","Wednesday","Thursday","Friday","Saturday")</f>
        <v>Sunday</v>
      </c>
      <c r="W570" t="str">
        <f>CHOOSE(BikeData[[#This Row],[weathersit]],"Clear / Few Clouds","Mist / Cloudy","Light Rain / Snow","Heavy Rain / Snow")</f>
        <v>Mist / Cloudy</v>
      </c>
    </row>
    <row r="571" spans="1:23" x14ac:dyDescent="0.3">
      <c r="A571">
        <v>570</v>
      </c>
      <c r="B571" s="1">
        <v>41113</v>
      </c>
      <c r="C571">
        <v>3</v>
      </c>
      <c r="D571">
        <v>1</v>
      </c>
      <c r="E571">
        <v>7</v>
      </c>
      <c r="F571">
        <v>0</v>
      </c>
      <c r="G571">
        <v>1</v>
      </c>
      <c r="H571">
        <v>1</v>
      </c>
      <c r="I571">
        <v>1</v>
      </c>
      <c r="J571">
        <v>0.74166699999999997</v>
      </c>
      <c r="K571">
        <v>0.69001699999999999</v>
      </c>
      <c r="L571">
        <v>0.69416699999999998</v>
      </c>
      <c r="M571">
        <v>0.138683</v>
      </c>
      <c r="N571">
        <v>1135</v>
      </c>
      <c r="O571">
        <v>5831</v>
      </c>
      <c r="P571">
        <v>6966</v>
      </c>
      <c r="Q571" t="str">
        <f>IF(BikeData[[#This Row],[casual]]+BikeData[[#This Row],[registered]]=BikeData[[#This Row],[cnt]],"OK","Check")</f>
        <v>OK</v>
      </c>
      <c r="R571">
        <f>IF(BikeData[[#This Row],[yr]]=0,2011,2012)</f>
        <v>2012</v>
      </c>
      <c r="S571" t="str">
        <f>CHOOSE(BikeData[[#This Row],[season]],"Winter","Spring","Summer","Fall")</f>
        <v>Summer</v>
      </c>
      <c r="T571" t="str">
        <f>TEXT(DATE(2000,BikeData[[#This Row],[mnth]],1),"mmmm")</f>
        <v>July</v>
      </c>
      <c r="U571" t="str">
        <f>IF(BikeData[[#This Row],[workingday]]=1,"Working Day","Non-working Day")</f>
        <v>Working Day</v>
      </c>
      <c r="V571" t="str">
        <f>CHOOSE(BikeData[[#This Row],[weekday]]+1,"Sunday","Monday","Tuesday","Wednesday","Thursday","Friday","Saturday")</f>
        <v>Monday</v>
      </c>
      <c r="W571" t="str">
        <f>CHOOSE(BikeData[[#This Row],[weathersit]],"Clear / Few Clouds","Mist / Cloudy","Light Rain / Snow","Heavy Rain / Snow")</f>
        <v>Clear / Few Clouds</v>
      </c>
    </row>
    <row r="572" spans="1:23" x14ac:dyDescent="0.3">
      <c r="A572">
        <v>571</v>
      </c>
      <c r="B572" s="1">
        <v>41114</v>
      </c>
      <c r="C572">
        <v>3</v>
      </c>
      <c r="D572">
        <v>1</v>
      </c>
      <c r="E572">
        <v>7</v>
      </c>
      <c r="F572">
        <v>0</v>
      </c>
      <c r="G572">
        <v>2</v>
      </c>
      <c r="H572">
        <v>1</v>
      </c>
      <c r="I572">
        <v>1</v>
      </c>
      <c r="J572">
        <v>0.75083299999999997</v>
      </c>
      <c r="K572">
        <v>0.70645000000000002</v>
      </c>
      <c r="L572">
        <v>0.65500000000000003</v>
      </c>
      <c r="M572">
        <v>0.211454</v>
      </c>
      <c r="N572">
        <v>1140</v>
      </c>
      <c r="O572">
        <v>6452</v>
      </c>
      <c r="P572">
        <v>7592</v>
      </c>
      <c r="Q572" t="str">
        <f>IF(BikeData[[#This Row],[casual]]+BikeData[[#This Row],[registered]]=BikeData[[#This Row],[cnt]],"OK","Check")</f>
        <v>OK</v>
      </c>
      <c r="R572">
        <f>IF(BikeData[[#This Row],[yr]]=0,2011,2012)</f>
        <v>2012</v>
      </c>
      <c r="S572" t="str">
        <f>CHOOSE(BikeData[[#This Row],[season]],"Winter","Spring","Summer","Fall")</f>
        <v>Summer</v>
      </c>
      <c r="T572" t="str">
        <f>TEXT(DATE(2000,BikeData[[#This Row],[mnth]],1),"mmmm")</f>
        <v>July</v>
      </c>
      <c r="U572" t="str">
        <f>IF(BikeData[[#This Row],[workingday]]=1,"Working Day","Non-working Day")</f>
        <v>Working Day</v>
      </c>
      <c r="V572" t="str">
        <f>CHOOSE(BikeData[[#This Row],[weekday]]+1,"Sunday","Monday","Tuesday","Wednesday","Thursday","Friday","Saturday")</f>
        <v>Tuesday</v>
      </c>
      <c r="W572" t="str">
        <f>CHOOSE(BikeData[[#This Row],[weathersit]],"Clear / Few Clouds","Mist / Cloudy","Light Rain / Snow","Heavy Rain / Snow")</f>
        <v>Clear / Few Clouds</v>
      </c>
    </row>
    <row r="573" spans="1:23" x14ac:dyDescent="0.3">
      <c r="A573">
        <v>572</v>
      </c>
      <c r="B573" s="1">
        <v>41115</v>
      </c>
      <c r="C573">
        <v>3</v>
      </c>
      <c r="D573">
        <v>1</v>
      </c>
      <c r="E573">
        <v>7</v>
      </c>
      <c r="F573">
        <v>0</v>
      </c>
      <c r="G573">
        <v>3</v>
      </c>
      <c r="H573">
        <v>1</v>
      </c>
      <c r="I573">
        <v>1</v>
      </c>
      <c r="J573">
        <v>0.72416700000000001</v>
      </c>
      <c r="K573">
        <v>0.65405400000000002</v>
      </c>
      <c r="L573">
        <v>0.45</v>
      </c>
      <c r="M573">
        <v>0.1648</v>
      </c>
      <c r="N573">
        <v>1383</v>
      </c>
      <c r="O573">
        <v>6790</v>
      </c>
      <c r="P573">
        <v>8173</v>
      </c>
      <c r="Q573" t="str">
        <f>IF(BikeData[[#This Row],[casual]]+BikeData[[#This Row],[registered]]=BikeData[[#This Row],[cnt]],"OK","Check")</f>
        <v>OK</v>
      </c>
      <c r="R573">
        <f>IF(BikeData[[#This Row],[yr]]=0,2011,2012)</f>
        <v>2012</v>
      </c>
      <c r="S573" t="str">
        <f>CHOOSE(BikeData[[#This Row],[season]],"Winter","Spring","Summer","Fall")</f>
        <v>Summer</v>
      </c>
      <c r="T573" t="str">
        <f>TEXT(DATE(2000,BikeData[[#This Row],[mnth]],1),"mmmm")</f>
        <v>July</v>
      </c>
      <c r="U573" t="str">
        <f>IF(BikeData[[#This Row],[workingday]]=1,"Working Day","Non-working Day")</f>
        <v>Working Day</v>
      </c>
      <c r="V573" t="str">
        <f>CHOOSE(BikeData[[#This Row],[weekday]]+1,"Sunday","Monday","Tuesday","Wednesday","Thursday","Friday","Saturday")</f>
        <v>Wednesday</v>
      </c>
      <c r="W573" t="str">
        <f>CHOOSE(BikeData[[#This Row],[weathersit]],"Clear / Few Clouds","Mist / Cloudy","Light Rain / Snow","Heavy Rain / Snow")</f>
        <v>Clear / Few Clouds</v>
      </c>
    </row>
    <row r="574" spans="1:23" x14ac:dyDescent="0.3">
      <c r="A574">
        <v>573</v>
      </c>
      <c r="B574" s="1">
        <v>41116</v>
      </c>
      <c r="C574">
        <v>3</v>
      </c>
      <c r="D574">
        <v>1</v>
      </c>
      <c r="E574">
        <v>7</v>
      </c>
      <c r="F574">
        <v>0</v>
      </c>
      <c r="G574">
        <v>4</v>
      </c>
      <c r="H574">
        <v>1</v>
      </c>
      <c r="I574">
        <v>1</v>
      </c>
      <c r="J574">
        <v>0.776667</v>
      </c>
      <c r="K574">
        <v>0.739263</v>
      </c>
      <c r="L574">
        <v>0.59666699999999995</v>
      </c>
      <c r="M574">
        <v>0.28481299999999998</v>
      </c>
      <c r="N574">
        <v>1036</v>
      </c>
      <c r="O574">
        <v>5825</v>
      </c>
      <c r="P574">
        <v>6861</v>
      </c>
      <c r="Q574" t="str">
        <f>IF(BikeData[[#This Row],[casual]]+BikeData[[#This Row],[registered]]=BikeData[[#This Row],[cnt]],"OK","Check")</f>
        <v>OK</v>
      </c>
      <c r="R574">
        <f>IF(BikeData[[#This Row],[yr]]=0,2011,2012)</f>
        <v>2012</v>
      </c>
      <c r="S574" t="str">
        <f>CHOOSE(BikeData[[#This Row],[season]],"Winter","Spring","Summer","Fall")</f>
        <v>Summer</v>
      </c>
      <c r="T574" t="str">
        <f>TEXT(DATE(2000,BikeData[[#This Row],[mnth]],1),"mmmm")</f>
        <v>July</v>
      </c>
      <c r="U574" t="str">
        <f>IF(BikeData[[#This Row],[workingday]]=1,"Working Day","Non-working Day")</f>
        <v>Working Day</v>
      </c>
      <c r="V574" t="str">
        <f>CHOOSE(BikeData[[#This Row],[weekday]]+1,"Sunday","Monday","Tuesday","Wednesday","Thursday","Friday","Saturday")</f>
        <v>Thursday</v>
      </c>
      <c r="W574" t="str">
        <f>CHOOSE(BikeData[[#This Row],[weathersit]],"Clear / Few Clouds","Mist / Cloudy","Light Rain / Snow","Heavy Rain / Snow")</f>
        <v>Clear / Few Clouds</v>
      </c>
    </row>
    <row r="575" spans="1:23" x14ac:dyDescent="0.3">
      <c r="A575">
        <v>574</v>
      </c>
      <c r="B575" s="1">
        <v>41117</v>
      </c>
      <c r="C575">
        <v>3</v>
      </c>
      <c r="D575">
        <v>1</v>
      </c>
      <c r="E575">
        <v>7</v>
      </c>
      <c r="F575">
        <v>0</v>
      </c>
      <c r="G575">
        <v>5</v>
      </c>
      <c r="H575">
        <v>1</v>
      </c>
      <c r="I575">
        <v>1</v>
      </c>
      <c r="J575">
        <v>0.781667</v>
      </c>
      <c r="K575">
        <v>0.73421700000000001</v>
      </c>
      <c r="L575">
        <v>0.59458299999999997</v>
      </c>
      <c r="M575">
        <v>0.15299199999999999</v>
      </c>
      <c r="N575">
        <v>1259</v>
      </c>
      <c r="O575">
        <v>5645</v>
      </c>
      <c r="P575">
        <v>6904</v>
      </c>
      <c r="Q575" t="str">
        <f>IF(BikeData[[#This Row],[casual]]+BikeData[[#This Row],[registered]]=BikeData[[#This Row],[cnt]],"OK","Check")</f>
        <v>OK</v>
      </c>
      <c r="R575">
        <f>IF(BikeData[[#This Row],[yr]]=0,2011,2012)</f>
        <v>2012</v>
      </c>
      <c r="S575" t="str">
        <f>CHOOSE(BikeData[[#This Row],[season]],"Winter","Spring","Summer","Fall")</f>
        <v>Summer</v>
      </c>
      <c r="T575" t="str">
        <f>TEXT(DATE(2000,BikeData[[#This Row],[mnth]],1),"mmmm")</f>
        <v>July</v>
      </c>
      <c r="U575" t="str">
        <f>IF(BikeData[[#This Row],[workingday]]=1,"Working Day","Non-working Day")</f>
        <v>Working Day</v>
      </c>
      <c r="V575" t="str">
        <f>CHOOSE(BikeData[[#This Row],[weekday]]+1,"Sunday","Monday","Tuesday","Wednesday","Thursday","Friday","Saturday")</f>
        <v>Friday</v>
      </c>
      <c r="W575" t="str">
        <f>CHOOSE(BikeData[[#This Row],[weathersit]],"Clear / Few Clouds","Mist / Cloudy","Light Rain / Snow","Heavy Rain / Snow")</f>
        <v>Clear / Few Clouds</v>
      </c>
    </row>
    <row r="576" spans="1:23" x14ac:dyDescent="0.3">
      <c r="A576">
        <v>575</v>
      </c>
      <c r="B576" s="1">
        <v>41118</v>
      </c>
      <c r="C576">
        <v>3</v>
      </c>
      <c r="D576">
        <v>1</v>
      </c>
      <c r="E576">
        <v>7</v>
      </c>
      <c r="F576">
        <v>0</v>
      </c>
      <c r="G576">
        <v>6</v>
      </c>
      <c r="H576">
        <v>0</v>
      </c>
      <c r="I576">
        <v>1</v>
      </c>
      <c r="J576">
        <v>0.75583299999999998</v>
      </c>
      <c r="K576">
        <v>0.697604</v>
      </c>
      <c r="L576">
        <v>0.61333300000000002</v>
      </c>
      <c r="M576">
        <v>0.15734999999999999</v>
      </c>
      <c r="N576">
        <v>2234</v>
      </c>
      <c r="O576">
        <v>4451</v>
      </c>
      <c r="P576">
        <v>6685</v>
      </c>
      <c r="Q576" t="str">
        <f>IF(BikeData[[#This Row],[casual]]+BikeData[[#This Row],[registered]]=BikeData[[#This Row],[cnt]],"OK","Check")</f>
        <v>OK</v>
      </c>
      <c r="R576">
        <f>IF(BikeData[[#This Row],[yr]]=0,2011,2012)</f>
        <v>2012</v>
      </c>
      <c r="S576" t="str">
        <f>CHOOSE(BikeData[[#This Row],[season]],"Winter","Spring","Summer","Fall")</f>
        <v>Summer</v>
      </c>
      <c r="T576" t="str">
        <f>TEXT(DATE(2000,BikeData[[#This Row],[mnth]],1),"mmmm")</f>
        <v>July</v>
      </c>
      <c r="U576" t="str">
        <f>IF(BikeData[[#This Row],[workingday]]=1,"Working Day","Non-working Day")</f>
        <v>Non-working Day</v>
      </c>
      <c r="V576" t="str">
        <f>CHOOSE(BikeData[[#This Row],[weekday]]+1,"Sunday","Monday","Tuesday","Wednesday","Thursday","Friday","Saturday")</f>
        <v>Saturday</v>
      </c>
      <c r="W576" t="str">
        <f>CHOOSE(BikeData[[#This Row],[weathersit]],"Clear / Few Clouds","Mist / Cloudy","Light Rain / Snow","Heavy Rain / Snow")</f>
        <v>Clear / Few Clouds</v>
      </c>
    </row>
    <row r="577" spans="1:23" x14ac:dyDescent="0.3">
      <c r="A577">
        <v>576</v>
      </c>
      <c r="B577" s="1">
        <v>41119</v>
      </c>
      <c r="C577">
        <v>3</v>
      </c>
      <c r="D577">
        <v>1</v>
      </c>
      <c r="E577">
        <v>7</v>
      </c>
      <c r="F577">
        <v>0</v>
      </c>
      <c r="G577">
        <v>0</v>
      </c>
      <c r="H577">
        <v>0</v>
      </c>
      <c r="I577">
        <v>1</v>
      </c>
      <c r="J577">
        <v>0.72166699999999995</v>
      </c>
      <c r="K577">
        <v>0.667933</v>
      </c>
      <c r="L577">
        <v>0.62375000000000003</v>
      </c>
      <c r="M577">
        <v>0.17039599999999999</v>
      </c>
      <c r="N577">
        <v>2153</v>
      </c>
      <c r="O577">
        <v>4444</v>
      </c>
      <c r="P577">
        <v>6597</v>
      </c>
      <c r="Q577" t="str">
        <f>IF(BikeData[[#This Row],[casual]]+BikeData[[#This Row],[registered]]=BikeData[[#This Row],[cnt]],"OK","Check")</f>
        <v>OK</v>
      </c>
      <c r="R577">
        <f>IF(BikeData[[#This Row],[yr]]=0,2011,2012)</f>
        <v>2012</v>
      </c>
      <c r="S577" t="str">
        <f>CHOOSE(BikeData[[#This Row],[season]],"Winter","Spring","Summer","Fall")</f>
        <v>Summer</v>
      </c>
      <c r="T577" t="str">
        <f>TEXT(DATE(2000,BikeData[[#This Row],[mnth]],1),"mmmm")</f>
        <v>July</v>
      </c>
      <c r="U577" t="str">
        <f>IF(BikeData[[#This Row],[workingday]]=1,"Working Day","Non-working Day")</f>
        <v>Non-working Day</v>
      </c>
      <c r="V577" t="str">
        <f>CHOOSE(BikeData[[#This Row],[weekday]]+1,"Sunday","Monday","Tuesday","Wednesday","Thursday","Friday","Saturday")</f>
        <v>Sunday</v>
      </c>
      <c r="W577" t="str">
        <f>CHOOSE(BikeData[[#This Row],[weathersit]],"Clear / Few Clouds","Mist / Cloudy","Light Rain / Snow","Heavy Rain / Snow")</f>
        <v>Clear / Few Clouds</v>
      </c>
    </row>
    <row r="578" spans="1:23" x14ac:dyDescent="0.3">
      <c r="A578">
        <v>577</v>
      </c>
      <c r="B578" s="1">
        <v>41120</v>
      </c>
      <c r="C578">
        <v>3</v>
      </c>
      <c r="D578">
        <v>1</v>
      </c>
      <c r="E578">
        <v>7</v>
      </c>
      <c r="F578">
        <v>0</v>
      </c>
      <c r="G578">
        <v>1</v>
      </c>
      <c r="H578">
        <v>1</v>
      </c>
      <c r="I578">
        <v>1</v>
      </c>
      <c r="J578">
        <v>0.73083299999999995</v>
      </c>
      <c r="K578">
        <v>0.68498700000000001</v>
      </c>
      <c r="L578">
        <v>0.66874999999999996</v>
      </c>
      <c r="M578">
        <v>0.153617</v>
      </c>
      <c r="N578">
        <v>1040</v>
      </c>
      <c r="O578">
        <v>6065</v>
      </c>
      <c r="P578">
        <v>7105</v>
      </c>
      <c r="Q578" t="str">
        <f>IF(BikeData[[#This Row],[casual]]+BikeData[[#This Row],[registered]]=BikeData[[#This Row],[cnt]],"OK","Check")</f>
        <v>OK</v>
      </c>
      <c r="R578">
        <f>IF(BikeData[[#This Row],[yr]]=0,2011,2012)</f>
        <v>2012</v>
      </c>
      <c r="S578" t="str">
        <f>CHOOSE(BikeData[[#This Row],[season]],"Winter","Spring","Summer","Fall")</f>
        <v>Summer</v>
      </c>
      <c r="T578" t="str">
        <f>TEXT(DATE(2000,BikeData[[#This Row],[mnth]],1),"mmmm")</f>
        <v>July</v>
      </c>
      <c r="U578" t="str">
        <f>IF(BikeData[[#This Row],[workingday]]=1,"Working Day","Non-working Day")</f>
        <v>Working Day</v>
      </c>
      <c r="V578" t="str">
        <f>CHOOSE(BikeData[[#This Row],[weekday]]+1,"Sunday","Monday","Tuesday","Wednesday","Thursday","Friday","Saturday")</f>
        <v>Monday</v>
      </c>
      <c r="W578" t="str">
        <f>CHOOSE(BikeData[[#This Row],[weathersit]],"Clear / Few Clouds","Mist / Cloudy","Light Rain / Snow","Heavy Rain / Snow")</f>
        <v>Clear / Few Clouds</v>
      </c>
    </row>
    <row r="579" spans="1:23" x14ac:dyDescent="0.3">
      <c r="A579">
        <v>578</v>
      </c>
      <c r="B579" s="1">
        <v>41121</v>
      </c>
      <c r="C579">
        <v>3</v>
      </c>
      <c r="D579">
        <v>1</v>
      </c>
      <c r="E579">
        <v>7</v>
      </c>
      <c r="F579">
        <v>0</v>
      </c>
      <c r="G579">
        <v>2</v>
      </c>
      <c r="H579">
        <v>1</v>
      </c>
      <c r="I579">
        <v>1</v>
      </c>
      <c r="J579">
        <v>0.71333299999999999</v>
      </c>
      <c r="K579">
        <v>0.66289600000000004</v>
      </c>
      <c r="L579">
        <v>0.70416699999999999</v>
      </c>
      <c r="M579">
        <v>0.16542499999999999</v>
      </c>
      <c r="N579">
        <v>968</v>
      </c>
      <c r="O579">
        <v>6248</v>
      </c>
      <c r="P579">
        <v>7216</v>
      </c>
      <c r="Q579" t="str">
        <f>IF(BikeData[[#This Row],[casual]]+BikeData[[#This Row],[registered]]=BikeData[[#This Row],[cnt]],"OK","Check")</f>
        <v>OK</v>
      </c>
      <c r="R579">
        <f>IF(BikeData[[#This Row],[yr]]=0,2011,2012)</f>
        <v>2012</v>
      </c>
      <c r="S579" t="str">
        <f>CHOOSE(BikeData[[#This Row],[season]],"Winter","Spring","Summer","Fall")</f>
        <v>Summer</v>
      </c>
      <c r="T579" t="str">
        <f>TEXT(DATE(2000,BikeData[[#This Row],[mnth]],1),"mmmm")</f>
        <v>July</v>
      </c>
      <c r="U579" t="str">
        <f>IF(BikeData[[#This Row],[workingday]]=1,"Working Day","Non-working Day")</f>
        <v>Working Day</v>
      </c>
      <c r="V579" t="str">
        <f>CHOOSE(BikeData[[#This Row],[weekday]]+1,"Sunday","Monday","Tuesday","Wednesday","Thursday","Friday","Saturday")</f>
        <v>Tuesday</v>
      </c>
      <c r="W579" t="str">
        <f>CHOOSE(BikeData[[#This Row],[weathersit]],"Clear / Few Clouds","Mist / Cloudy","Light Rain / Snow","Heavy Rain / Snow")</f>
        <v>Clear / Few Clouds</v>
      </c>
    </row>
    <row r="580" spans="1:23" x14ac:dyDescent="0.3">
      <c r="A580">
        <v>579</v>
      </c>
      <c r="B580" s="1">
        <v>41122</v>
      </c>
      <c r="C580">
        <v>3</v>
      </c>
      <c r="D580">
        <v>1</v>
      </c>
      <c r="E580">
        <v>8</v>
      </c>
      <c r="F580">
        <v>0</v>
      </c>
      <c r="G580">
        <v>3</v>
      </c>
      <c r="H580">
        <v>1</v>
      </c>
      <c r="I580">
        <v>1</v>
      </c>
      <c r="J580">
        <v>0.71750000000000003</v>
      </c>
      <c r="K580">
        <v>0.66730800000000001</v>
      </c>
      <c r="L580">
        <v>0.67749999999999999</v>
      </c>
      <c r="M580">
        <v>0.141179</v>
      </c>
      <c r="N580">
        <v>1074</v>
      </c>
      <c r="O580">
        <v>6506</v>
      </c>
      <c r="P580">
        <v>7580</v>
      </c>
      <c r="Q580" t="str">
        <f>IF(BikeData[[#This Row],[casual]]+BikeData[[#This Row],[registered]]=BikeData[[#This Row],[cnt]],"OK","Check")</f>
        <v>OK</v>
      </c>
      <c r="R580">
        <f>IF(BikeData[[#This Row],[yr]]=0,2011,2012)</f>
        <v>2012</v>
      </c>
      <c r="S580" t="str">
        <f>CHOOSE(BikeData[[#This Row],[season]],"Winter","Spring","Summer","Fall")</f>
        <v>Summer</v>
      </c>
      <c r="T580" t="str">
        <f>TEXT(DATE(2000,BikeData[[#This Row],[mnth]],1),"mmmm")</f>
        <v>August</v>
      </c>
      <c r="U580" t="str">
        <f>IF(BikeData[[#This Row],[workingday]]=1,"Working Day","Non-working Day")</f>
        <v>Working Day</v>
      </c>
      <c r="V580" t="str">
        <f>CHOOSE(BikeData[[#This Row],[weekday]]+1,"Sunday","Monday","Tuesday","Wednesday","Thursday","Friday","Saturday")</f>
        <v>Wednesday</v>
      </c>
      <c r="W580" t="str">
        <f>CHOOSE(BikeData[[#This Row],[weathersit]],"Clear / Few Clouds","Mist / Cloudy","Light Rain / Snow","Heavy Rain / Snow")</f>
        <v>Clear / Few Clouds</v>
      </c>
    </row>
    <row r="581" spans="1:23" x14ac:dyDescent="0.3">
      <c r="A581">
        <v>580</v>
      </c>
      <c r="B581" s="1">
        <v>41123</v>
      </c>
      <c r="C581">
        <v>3</v>
      </c>
      <c r="D581">
        <v>1</v>
      </c>
      <c r="E581">
        <v>8</v>
      </c>
      <c r="F581">
        <v>0</v>
      </c>
      <c r="G581">
        <v>4</v>
      </c>
      <c r="H581">
        <v>1</v>
      </c>
      <c r="I581">
        <v>1</v>
      </c>
      <c r="J581">
        <v>0.75249999999999995</v>
      </c>
      <c r="K581">
        <v>0.70708800000000005</v>
      </c>
      <c r="L581">
        <v>0.65958300000000003</v>
      </c>
      <c r="M581">
        <v>0.129354</v>
      </c>
      <c r="N581">
        <v>983</v>
      </c>
      <c r="O581">
        <v>6278</v>
      </c>
      <c r="P581">
        <v>7261</v>
      </c>
      <c r="Q581" t="str">
        <f>IF(BikeData[[#This Row],[casual]]+BikeData[[#This Row],[registered]]=BikeData[[#This Row],[cnt]],"OK","Check")</f>
        <v>OK</v>
      </c>
      <c r="R581">
        <f>IF(BikeData[[#This Row],[yr]]=0,2011,2012)</f>
        <v>2012</v>
      </c>
      <c r="S581" t="str">
        <f>CHOOSE(BikeData[[#This Row],[season]],"Winter","Spring","Summer","Fall")</f>
        <v>Summer</v>
      </c>
      <c r="T581" t="str">
        <f>TEXT(DATE(2000,BikeData[[#This Row],[mnth]],1),"mmmm")</f>
        <v>August</v>
      </c>
      <c r="U581" t="str">
        <f>IF(BikeData[[#This Row],[workingday]]=1,"Working Day","Non-working Day")</f>
        <v>Working Day</v>
      </c>
      <c r="V581" t="str">
        <f>CHOOSE(BikeData[[#This Row],[weekday]]+1,"Sunday","Monday","Tuesday","Wednesday","Thursday","Friday","Saturday")</f>
        <v>Thursday</v>
      </c>
      <c r="W581" t="str">
        <f>CHOOSE(BikeData[[#This Row],[weathersit]],"Clear / Few Clouds","Mist / Cloudy","Light Rain / Snow","Heavy Rain / Snow")</f>
        <v>Clear / Few Clouds</v>
      </c>
    </row>
    <row r="582" spans="1:23" x14ac:dyDescent="0.3">
      <c r="A582">
        <v>581</v>
      </c>
      <c r="B582" s="1">
        <v>41124</v>
      </c>
      <c r="C582">
        <v>3</v>
      </c>
      <c r="D582">
        <v>1</v>
      </c>
      <c r="E582">
        <v>8</v>
      </c>
      <c r="F582">
        <v>0</v>
      </c>
      <c r="G582">
        <v>5</v>
      </c>
      <c r="H582">
        <v>1</v>
      </c>
      <c r="I582">
        <v>2</v>
      </c>
      <c r="J582">
        <v>0.76583299999999999</v>
      </c>
      <c r="K582">
        <v>0.72286700000000004</v>
      </c>
      <c r="L582">
        <v>0.64249999999999996</v>
      </c>
      <c r="M582">
        <v>0.21579200000000001</v>
      </c>
      <c r="N582">
        <v>1328</v>
      </c>
      <c r="O582">
        <v>5847</v>
      </c>
      <c r="P582">
        <v>7175</v>
      </c>
      <c r="Q582" t="str">
        <f>IF(BikeData[[#This Row],[casual]]+BikeData[[#This Row],[registered]]=BikeData[[#This Row],[cnt]],"OK","Check")</f>
        <v>OK</v>
      </c>
      <c r="R582">
        <f>IF(BikeData[[#This Row],[yr]]=0,2011,2012)</f>
        <v>2012</v>
      </c>
      <c r="S582" t="str">
        <f>CHOOSE(BikeData[[#This Row],[season]],"Winter","Spring","Summer","Fall")</f>
        <v>Summer</v>
      </c>
      <c r="T582" t="str">
        <f>TEXT(DATE(2000,BikeData[[#This Row],[mnth]],1),"mmmm")</f>
        <v>August</v>
      </c>
      <c r="U582" t="str">
        <f>IF(BikeData[[#This Row],[workingday]]=1,"Working Day","Non-working Day")</f>
        <v>Working Day</v>
      </c>
      <c r="V582" t="str">
        <f>CHOOSE(BikeData[[#This Row],[weekday]]+1,"Sunday","Monday","Tuesday","Wednesday","Thursday","Friday","Saturday")</f>
        <v>Friday</v>
      </c>
      <c r="W582" t="str">
        <f>CHOOSE(BikeData[[#This Row],[weathersit]],"Clear / Few Clouds","Mist / Cloudy","Light Rain / Snow","Heavy Rain / Snow")</f>
        <v>Mist / Cloudy</v>
      </c>
    </row>
    <row r="583" spans="1:23" x14ac:dyDescent="0.3">
      <c r="A583">
        <v>582</v>
      </c>
      <c r="B583" s="1">
        <v>41125</v>
      </c>
      <c r="C583">
        <v>3</v>
      </c>
      <c r="D583">
        <v>1</v>
      </c>
      <c r="E583">
        <v>8</v>
      </c>
      <c r="F583">
        <v>0</v>
      </c>
      <c r="G583">
        <v>6</v>
      </c>
      <c r="H583">
        <v>0</v>
      </c>
      <c r="I583">
        <v>1</v>
      </c>
      <c r="J583">
        <v>0.79333299999999995</v>
      </c>
      <c r="K583">
        <v>0.75126700000000002</v>
      </c>
      <c r="L583">
        <v>0.61333300000000002</v>
      </c>
      <c r="M583">
        <v>0.25745800000000002</v>
      </c>
      <c r="N583">
        <v>2345</v>
      </c>
      <c r="O583">
        <v>4479</v>
      </c>
      <c r="P583">
        <v>6824</v>
      </c>
      <c r="Q583" t="str">
        <f>IF(BikeData[[#This Row],[casual]]+BikeData[[#This Row],[registered]]=BikeData[[#This Row],[cnt]],"OK","Check")</f>
        <v>OK</v>
      </c>
      <c r="R583">
        <f>IF(BikeData[[#This Row],[yr]]=0,2011,2012)</f>
        <v>2012</v>
      </c>
      <c r="S583" t="str">
        <f>CHOOSE(BikeData[[#This Row],[season]],"Winter","Spring","Summer","Fall")</f>
        <v>Summer</v>
      </c>
      <c r="T583" t="str">
        <f>TEXT(DATE(2000,BikeData[[#This Row],[mnth]],1),"mmmm")</f>
        <v>August</v>
      </c>
      <c r="U583" t="str">
        <f>IF(BikeData[[#This Row],[workingday]]=1,"Working Day","Non-working Day")</f>
        <v>Non-working Day</v>
      </c>
      <c r="V583" t="str">
        <f>CHOOSE(BikeData[[#This Row],[weekday]]+1,"Sunday","Monday","Tuesday","Wednesday","Thursday","Friday","Saturday")</f>
        <v>Saturday</v>
      </c>
      <c r="W583" t="str">
        <f>CHOOSE(BikeData[[#This Row],[weathersit]],"Clear / Few Clouds","Mist / Cloudy","Light Rain / Snow","Heavy Rain / Snow")</f>
        <v>Clear / Few Clouds</v>
      </c>
    </row>
    <row r="584" spans="1:23" x14ac:dyDescent="0.3">
      <c r="A584">
        <v>583</v>
      </c>
      <c r="B584" s="1">
        <v>41126</v>
      </c>
      <c r="C584">
        <v>3</v>
      </c>
      <c r="D584">
        <v>1</v>
      </c>
      <c r="E584">
        <v>8</v>
      </c>
      <c r="F584">
        <v>0</v>
      </c>
      <c r="G584">
        <v>0</v>
      </c>
      <c r="H584">
        <v>0</v>
      </c>
      <c r="I584">
        <v>1</v>
      </c>
      <c r="J584">
        <v>0.76916700000000005</v>
      </c>
      <c r="K584">
        <v>0.73107900000000003</v>
      </c>
      <c r="L584">
        <v>0.65249999999999997</v>
      </c>
      <c r="M584">
        <v>0.29042099999999998</v>
      </c>
      <c r="N584">
        <v>1707</v>
      </c>
      <c r="O584">
        <v>3757</v>
      </c>
      <c r="P584">
        <v>5464</v>
      </c>
      <c r="Q584" t="str">
        <f>IF(BikeData[[#This Row],[casual]]+BikeData[[#This Row],[registered]]=BikeData[[#This Row],[cnt]],"OK","Check")</f>
        <v>OK</v>
      </c>
      <c r="R584">
        <f>IF(BikeData[[#This Row],[yr]]=0,2011,2012)</f>
        <v>2012</v>
      </c>
      <c r="S584" t="str">
        <f>CHOOSE(BikeData[[#This Row],[season]],"Winter","Spring","Summer","Fall")</f>
        <v>Summer</v>
      </c>
      <c r="T584" t="str">
        <f>TEXT(DATE(2000,BikeData[[#This Row],[mnth]],1),"mmmm")</f>
        <v>August</v>
      </c>
      <c r="U584" t="str">
        <f>IF(BikeData[[#This Row],[workingday]]=1,"Working Day","Non-working Day")</f>
        <v>Non-working Day</v>
      </c>
      <c r="V584" t="str">
        <f>CHOOSE(BikeData[[#This Row],[weekday]]+1,"Sunday","Monday","Tuesday","Wednesday","Thursday","Friday","Saturday")</f>
        <v>Sunday</v>
      </c>
      <c r="W584" t="str">
        <f>CHOOSE(BikeData[[#This Row],[weathersit]],"Clear / Few Clouds","Mist / Cloudy","Light Rain / Snow","Heavy Rain / Snow")</f>
        <v>Clear / Few Clouds</v>
      </c>
    </row>
    <row r="585" spans="1:23" x14ac:dyDescent="0.3">
      <c r="A585">
        <v>584</v>
      </c>
      <c r="B585" s="1">
        <v>41127</v>
      </c>
      <c r="C585">
        <v>3</v>
      </c>
      <c r="D585">
        <v>1</v>
      </c>
      <c r="E585">
        <v>8</v>
      </c>
      <c r="F585">
        <v>0</v>
      </c>
      <c r="G585">
        <v>1</v>
      </c>
      <c r="H585">
        <v>1</v>
      </c>
      <c r="I585">
        <v>2</v>
      </c>
      <c r="J585">
        <v>0.75249999999999995</v>
      </c>
      <c r="K585">
        <v>0.71024600000000004</v>
      </c>
      <c r="L585">
        <v>0.65416700000000005</v>
      </c>
      <c r="M585">
        <v>0.129354</v>
      </c>
      <c r="N585">
        <v>1233</v>
      </c>
      <c r="O585">
        <v>5780</v>
      </c>
      <c r="P585">
        <v>7013</v>
      </c>
      <c r="Q585" t="str">
        <f>IF(BikeData[[#This Row],[casual]]+BikeData[[#This Row],[registered]]=BikeData[[#This Row],[cnt]],"OK","Check")</f>
        <v>OK</v>
      </c>
      <c r="R585">
        <f>IF(BikeData[[#This Row],[yr]]=0,2011,2012)</f>
        <v>2012</v>
      </c>
      <c r="S585" t="str">
        <f>CHOOSE(BikeData[[#This Row],[season]],"Winter","Spring","Summer","Fall")</f>
        <v>Summer</v>
      </c>
      <c r="T585" t="str">
        <f>TEXT(DATE(2000,BikeData[[#This Row],[mnth]],1),"mmmm")</f>
        <v>August</v>
      </c>
      <c r="U585" t="str">
        <f>IF(BikeData[[#This Row],[workingday]]=1,"Working Day","Non-working Day")</f>
        <v>Working Day</v>
      </c>
      <c r="V585" t="str">
        <f>CHOOSE(BikeData[[#This Row],[weekday]]+1,"Sunday","Monday","Tuesday","Wednesday","Thursday","Friday","Saturday")</f>
        <v>Monday</v>
      </c>
      <c r="W585" t="str">
        <f>CHOOSE(BikeData[[#This Row],[weathersit]],"Clear / Few Clouds","Mist / Cloudy","Light Rain / Snow","Heavy Rain / Snow")</f>
        <v>Mist / Cloudy</v>
      </c>
    </row>
    <row r="586" spans="1:23" x14ac:dyDescent="0.3">
      <c r="A586">
        <v>585</v>
      </c>
      <c r="B586" s="1">
        <v>41128</v>
      </c>
      <c r="C586">
        <v>3</v>
      </c>
      <c r="D586">
        <v>1</v>
      </c>
      <c r="E586">
        <v>8</v>
      </c>
      <c r="F586">
        <v>0</v>
      </c>
      <c r="G586">
        <v>2</v>
      </c>
      <c r="H586">
        <v>1</v>
      </c>
      <c r="I586">
        <v>2</v>
      </c>
      <c r="J586">
        <v>0.73583299999999996</v>
      </c>
      <c r="K586">
        <v>0.69762100000000005</v>
      </c>
      <c r="L586">
        <v>0.70374999999999999</v>
      </c>
      <c r="M586">
        <v>0.116908</v>
      </c>
      <c r="N586">
        <v>1278</v>
      </c>
      <c r="O586">
        <v>5995</v>
      </c>
      <c r="P586">
        <v>7273</v>
      </c>
      <c r="Q586" t="str">
        <f>IF(BikeData[[#This Row],[casual]]+BikeData[[#This Row],[registered]]=BikeData[[#This Row],[cnt]],"OK","Check")</f>
        <v>OK</v>
      </c>
      <c r="R586">
        <f>IF(BikeData[[#This Row],[yr]]=0,2011,2012)</f>
        <v>2012</v>
      </c>
      <c r="S586" t="str">
        <f>CHOOSE(BikeData[[#This Row],[season]],"Winter","Spring","Summer","Fall")</f>
        <v>Summer</v>
      </c>
      <c r="T586" t="str">
        <f>TEXT(DATE(2000,BikeData[[#This Row],[mnth]],1),"mmmm")</f>
        <v>August</v>
      </c>
      <c r="U586" t="str">
        <f>IF(BikeData[[#This Row],[workingday]]=1,"Working Day","Non-working Day")</f>
        <v>Working Day</v>
      </c>
      <c r="V586" t="str">
        <f>CHOOSE(BikeData[[#This Row],[weekday]]+1,"Sunday","Monday","Tuesday","Wednesday","Thursday","Friday","Saturday")</f>
        <v>Tuesday</v>
      </c>
      <c r="W586" t="str">
        <f>CHOOSE(BikeData[[#This Row],[weathersit]],"Clear / Few Clouds","Mist / Cloudy","Light Rain / Snow","Heavy Rain / Snow")</f>
        <v>Mist / Cloudy</v>
      </c>
    </row>
    <row r="587" spans="1:23" x14ac:dyDescent="0.3">
      <c r="A587">
        <v>586</v>
      </c>
      <c r="B587" s="1">
        <v>41129</v>
      </c>
      <c r="C587">
        <v>3</v>
      </c>
      <c r="D587">
        <v>1</v>
      </c>
      <c r="E587">
        <v>8</v>
      </c>
      <c r="F587">
        <v>0</v>
      </c>
      <c r="G587">
        <v>3</v>
      </c>
      <c r="H587">
        <v>1</v>
      </c>
      <c r="I587">
        <v>2</v>
      </c>
      <c r="J587">
        <v>0.75</v>
      </c>
      <c r="K587">
        <v>0.70771700000000004</v>
      </c>
      <c r="L587">
        <v>0.67291699999999999</v>
      </c>
      <c r="M587">
        <v>0.11070000000000001</v>
      </c>
      <c r="N587">
        <v>1263</v>
      </c>
      <c r="O587">
        <v>6271</v>
      </c>
      <c r="P587">
        <v>7534</v>
      </c>
      <c r="Q587" t="str">
        <f>IF(BikeData[[#This Row],[casual]]+BikeData[[#This Row],[registered]]=BikeData[[#This Row],[cnt]],"OK","Check")</f>
        <v>OK</v>
      </c>
      <c r="R587">
        <f>IF(BikeData[[#This Row],[yr]]=0,2011,2012)</f>
        <v>2012</v>
      </c>
      <c r="S587" t="str">
        <f>CHOOSE(BikeData[[#This Row],[season]],"Winter","Spring","Summer","Fall")</f>
        <v>Summer</v>
      </c>
      <c r="T587" t="str">
        <f>TEXT(DATE(2000,BikeData[[#This Row],[mnth]],1),"mmmm")</f>
        <v>August</v>
      </c>
      <c r="U587" t="str">
        <f>IF(BikeData[[#This Row],[workingday]]=1,"Working Day","Non-working Day")</f>
        <v>Working Day</v>
      </c>
      <c r="V587" t="str">
        <f>CHOOSE(BikeData[[#This Row],[weekday]]+1,"Sunday","Monday","Tuesday","Wednesday","Thursday","Friday","Saturday")</f>
        <v>Wednesday</v>
      </c>
      <c r="W587" t="str">
        <f>CHOOSE(BikeData[[#This Row],[weathersit]],"Clear / Few Clouds","Mist / Cloudy","Light Rain / Snow","Heavy Rain / Snow")</f>
        <v>Mist / Cloudy</v>
      </c>
    </row>
    <row r="588" spans="1:23" x14ac:dyDescent="0.3">
      <c r="A588">
        <v>587</v>
      </c>
      <c r="B588" s="1">
        <v>41130</v>
      </c>
      <c r="C588">
        <v>3</v>
      </c>
      <c r="D588">
        <v>1</v>
      </c>
      <c r="E588">
        <v>8</v>
      </c>
      <c r="F588">
        <v>0</v>
      </c>
      <c r="G588">
        <v>4</v>
      </c>
      <c r="H588">
        <v>1</v>
      </c>
      <c r="I588">
        <v>1</v>
      </c>
      <c r="J588">
        <v>0.75583299999999998</v>
      </c>
      <c r="K588">
        <v>0.69950800000000002</v>
      </c>
      <c r="L588">
        <v>0.620417</v>
      </c>
      <c r="M588">
        <v>0.15609999999999999</v>
      </c>
      <c r="N588">
        <v>1196</v>
      </c>
      <c r="O588">
        <v>6090</v>
      </c>
      <c r="P588">
        <v>7286</v>
      </c>
      <c r="Q588" t="str">
        <f>IF(BikeData[[#This Row],[casual]]+BikeData[[#This Row],[registered]]=BikeData[[#This Row],[cnt]],"OK","Check")</f>
        <v>OK</v>
      </c>
      <c r="R588">
        <f>IF(BikeData[[#This Row],[yr]]=0,2011,2012)</f>
        <v>2012</v>
      </c>
      <c r="S588" t="str">
        <f>CHOOSE(BikeData[[#This Row],[season]],"Winter","Spring","Summer","Fall")</f>
        <v>Summer</v>
      </c>
      <c r="T588" t="str">
        <f>TEXT(DATE(2000,BikeData[[#This Row],[mnth]],1),"mmmm")</f>
        <v>August</v>
      </c>
      <c r="U588" t="str">
        <f>IF(BikeData[[#This Row],[workingday]]=1,"Working Day","Non-working Day")</f>
        <v>Working Day</v>
      </c>
      <c r="V588" t="str">
        <f>CHOOSE(BikeData[[#This Row],[weekday]]+1,"Sunday","Monday","Tuesday","Wednesday","Thursday","Friday","Saturday")</f>
        <v>Thursday</v>
      </c>
      <c r="W588" t="str">
        <f>CHOOSE(BikeData[[#This Row],[weathersit]],"Clear / Few Clouds","Mist / Cloudy","Light Rain / Snow","Heavy Rain / Snow")</f>
        <v>Clear / Few Clouds</v>
      </c>
    </row>
    <row r="589" spans="1:23" x14ac:dyDescent="0.3">
      <c r="A589">
        <v>588</v>
      </c>
      <c r="B589" s="1">
        <v>41131</v>
      </c>
      <c r="C589">
        <v>3</v>
      </c>
      <c r="D589">
        <v>1</v>
      </c>
      <c r="E589">
        <v>8</v>
      </c>
      <c r="F589">
        <v>0</v>
      </c>
      <c r="G589">
        <v>5</v>
      </c>
      <c r="H589">
        <v>1</v>
      </c>
      <c r="I589">
        <v>2</v>
      </c>
      <c r="J589">
        <v>0.71583300000000005</v>
      </c>
      <c r="K589">
        <v>0.66794200000000004</v>
      </c>
      <c r="L589">
        <v>0.71583300000000005</v>
      </c>
      <c r="M589">
        <v>0.238813</v>
      </c>
      <c r="N589">
        <v>1065</v>
      </c>
      <c r="O589">
        <v>4721</v>
      </c>
      <c r="P589">
        <v>5786</v>
      </c>
      <c r="Q589" t="str">
        <f>IF(BikeData[[#This Row],[casual]]+BikeData[[#This Row],[registered]]=BikeData[[#This Row],[cnt]],"OK","Check")</f>
        <v>OK</v>
      </c>
      <c r="R589">
        <f>IF(BikeData[[#This Row],[yr]]=0,2011,2012)</f>
        <v>2012</v>
      </c>
      <c r="S589" t="str">
        <f>CHOOSE(BikeData[[#This Row],[season]],"Winter","Spring","Summer","Fall")</f>
        <v>Summer</v>
      </c>
      <c r="T589" t="str">
        <f>TEXT(DATE(2000,BikeData[[#This Row],[mnth]],1),"mmmm")</f>
        <v>August</v>
      </c>
      <c r="U589" t="str">
        <f>IF(BikeData[[#This Row],[workingday]]=1,"Working Day","Non-working Day")</f>
        <v>Working Day</v>
      </c>
      <c r="V589" t="str">
        <f>CHOOSE(BikeData[[#This Row],[weekday]]+1,"Sunday","Monday","Tuesday","Wednesday","Thursday","Friday","Saturday")</f>
        <v>Friday</v>
      </c>
      <c r="W589" t="str">
        <f>CHOOSE(BikeData[[#This Row],[weathersit]],"Clear / Few Clouds","Mist / Cloudy","Light Rain / Snow","Heavy Rain / Snow")</f>
        <v>Mist / Cloudy</v>
      </c>
    </row>
    <row r="590" spans="1:23" x14ac:dyDescent="0.3">
      <c r="A590">
        <v>589</v>
      </c>
      <c r="B590" s="1">
        <v>41132</v>
      </c>
      <c r="C590">
        <v>3</v>
      </c>
      <c r="D590">
        <v>1</v>
      </c>
      <c r="E590">
        <v>8</v>
      </c>
      <c r="F590">
        <v>0</v>
      </c>
      <c r="G590">
        <v>6</v>
      </c>
      <c r="H590">
        <v>0</v>
      </c>
      <c r="I590">
        <v>2</v>
      </c>
      <c r="J590">
        <v>0.6925</v>
      </c>
      <c r="K590">
        <v>0.63826700000000003</v>
      </c>
      <c r="L590">
        <v>0.73291700000000004</v>
      </c>
      <c r="M590">
        <v>0.206479</v>
      </c>
      <c r="N590">
        <v>2247</v>
      </c>
      <c r="O590">
        <v>4052</v>
      </c>
      <c r="P590">
        <v>6299</v>
      </c>
      <c r="Q590" t="str">
        <f>IF(BikeData[[#This Row],[casual]]+BikeData[[#This Row],[registered]]=BikeData[[#This Row],[cnt]],"OK","Check")</f>
        <v>OK</v>
      </c>
      <c r="R590">
        <f>IF(BikeData[[#This Row],[yr]]=0,2011,2012)</f>
        <v>2012</v>
      </c>
      <c r="S590" t="str">
        <f>CHOOSE(BikeData[[#This Row],[season]],"Winter","Spring","Summer","Fall")</f>
        <v>Summer</v>
      </c>
      <c r="T590" t="str">
        <f>TEXT(DATE(2000,BikeData[[#This Row],[mnth]],1),"mmmm")</f>
        <v>August</v>
      </c>
      <c r="U590" t="str">
        <f>IF(BikeData[[#This Row],[workingday]]=1,"Working Day","Non-working Day")</f>
        <v>Non-working Day</v>
      </c>
      <c r="V590" t="str">
        <f>CHOOSE(BikeData[[#This Row],[weekday]]+1,"Sunday","Monday","Tuesday","Wednesday","Thursday","Friday","Saturday")</f>
        <v>Saturday</v>
      </c>
      <c r="W590" t="str">
        <f>CHOOSE(BikeData[[#This Row],[weathersit]],"Clear / Few Clouds","Mist / Cloudy","Light Rain / Snow","Heavy Rain / Snow")</f>
        <v>Mist / Cloudy</v>
      </c>
    </row>
    <row r="591" spans="1:23" x14ac:dyDescent="0.3">
      <c r="A591">
        <v>590</v>
      </c>
      <c r="B591" s="1">
        <v>41133</v>
      </c>
      <c r="C591">
        <v>3</v>
      </c>
      <c r="D591">
        <v>1</v>
      </c>
      <c r="E591">
        <v>8</v>
      </c>
      <c r="F591">
        <v>0</v>
      </c>
      <c r="G591">
        <v>0</v>
      </c>
      <c r="H591">
        <v>0</v>
      </c>
      <c r="I591">
        <v>1</v>
      </c>
      <c r="J591">
        <v>0.70083300000000004</v>
      </c>
      <c r="K591">
        <v>0.64457900000000001</v>
      </c>
      <c r="L591">
        <v>0.53041700000000003</v>
      </c>
      <c r="M591">
        <v>0.122512</v>
      </c>
      <c r="N591">
        <v>2182</v>
      </c>
      <c r="O591">
        <v>4362</v>
      </c>
      <c r="P591">
        <v>6544</v>
      </c>
      <c r="Q591" t="str">
        <f>IF(BikeData[[#This Row],[casual]]+BikeData[[#This Row],[registered]]=BikeData[[#This Row],[cnt]],"OK","Check")</f>
        <v>OK</v>
      </c>
      <c r="R591">
        <f>IF(BikeData[[#This Row],[yr]]=0,2011,2012)</f>
        <v>2012</v>
      </c>
      <c r="S591" t="str">
        <f>CHOOSE(BikeData[[#This Row],[season]],"Winter","Spring","Summer","Fall")</f>
        <v>Summer</v>
      </c>
      <c r="T591" t="str">
        <f>TEXT(DATE(2000,BikeData[[#This Row],[mnth]],1),"mmmm")</f>
        <v>August</v>
      </c>
      <c r="U591" t="str">
        <f>IF(BikeData[[#This Row],[workingday]]=1,"Working Day","Non-working Day")</f>
        <v>Non-working Day</v>
      </c>
      <c r="V591" t="str">
        <f>CHOOSE(BikeData[[#This Row],[weekday]]+1,"Sunday","Monday","Tuesday","Wednesday","Thursday","Friday","Saturday")</f>
        <v>Sunday</v>
      </c>
      <c r="W591" t="str">
        <f>CHOOSE(BikeData[[#This Row],[weathersit]],"Clear / Few Clouds","Mist / Cloudy","Light Rain / Snow","Heavy Rain / Snow")</f>
        <v>Clear / Few Clouds</v>
      </c>
    </row>
    <row r="592" spans="1:23" x14ac:dyDescent="0.3">
      <c r="A592">
        <v>591</v>
      </c>
      <c r="B592" s="1">
        <v>41134</v>
      </c>
      <c r="C592">
        <v>3</v>
      </c>
      <c r="D592">
        <v>1</v>
      </c>
      <c r="E592">
        <v>8</v>
      </c>
      <c r="F592">
        <v>0</v>
      </c>
      <c r="G592">
        <v>1</v>
      </c>
      <c r="H592">
        <v>1</v>
      </c>
      <c r="I592">
        <v>1</v>
      </c>
      <c r="J592">
        <v>0.72083299999999995</v>
      </c>
      <c r="K592">
        <v>0.66225400000000001</v>
      </c>
      <c r="L592">
        <v>0.54541700000000004</v>
      </c>
      <c r="M592">
        <v>0.136212</v>
      </c>
      <c r="N592">
        <v>1207</v>
      </c>
      <c r="O592">
        <v>5676</v>
      </c>
      <c r="P592">
        <v>6883</v>
      </c>
      <c r="Q592" t="str">
        <f>IF(BikeData[[#This Row],[casual]]+BikeData[[#This Row],[registered]]=BikeData[[#This Row],[cnt]],"OK","Check")</f>
        <v>OK</v>
      </c>
      <c r="R592">
        <f>IF(BikeData[[#This Row],[yr]]=0,2011,2012)</f>
        <v>2012</v>
      </c>
      <c r="S592" t="str">
        <f>CHOOSE(BikeData[[#This Row],[season]],"Winter","Spring","Summer","Fall")</f>
        <v>Summer</v>
      </c>
      <c r="T592" t="str">
        <f>TEXT(DATE(2000,BikeData[[#This Row],[mnth]],1),"mmmm")</f>
        <v>August</v>
      </c>
      <c r="U592" t="str">
        <f>IF(BikeData[[#This Row],[workingday]]=1,"Working Day","Non-working Day")</f>
        <v>Working Day</v>
      </c>
      <c r="V592" t="str">
        <f>CHOOSE(BikeData[[#This Row],[weekday]]+1,"Sunday","Monday","Tuesday","Wednesday","Thursday","Friday","Saturday")</f>
        <v>Monday</v>
      </c>
      <c r="W592" t="str">
        <f>CHOOSE(BikeData[[#This Row],[weathersit]],"Clear / Few Clouds","Mist / Cloudy","Light Rain / Snow","Heavy Rain / Snow")</f>
        <v>Clear / Few Clouds</v>
      </c>
    </row>
    <row r="593" spans="1:23" x14ac:dyDescent="0.3">
      <c r="A593">
        <v>592</v>
      </c>
      <c r="B593" s="1">
        <v>41135</v>
      </c>
      <c r="C593">
        <v>3</v>
      </c>
      <c r="D593">
        <v>1</v>
      </c>
      <c r="E593">
        <v>8</v>
      </c>
      <c r="F593">
        <v>0</v>
      </c>
      <c r="G593">
        <v>2</v>
      </c>
      <c r="H593">
        <v>1</v>
      </c>
      <c r="I593">
        <v>1</v>
      </c>
      <c r="J593">
        <v>0.72666699999999995</v>
      </c>
      <c r="K593">
        <v>0.67677900000000002</v>
      </c>
      <c r="L593">
        <v>0.68666700000000003</v>
      </c>
      <c r="M593">
        <v>0.169158</v>
      </c>
      <c r="N593">
        <v>1128</v>
      </c>
      <c r="O593">
        <v>5656</v>
      </c>
      <c r="P593">
        <v>6784</v>
      </c>
      <c r="Q593" t="str">
        <f>IF(BikeData[[#This Row],[casual]]+BikeData[[#This Row],[registered]]=BikeData[[#This Row],[cnt]],"OK","Check")</f>
        <v>OK</v>
      </c>
      <c r="R593">
        <f>IF(BikeData[[#This Row],[yr]]=0,2011,2012)</f>
        <v>2012</v>
      </c>
      <c r="S593" t="str">
        <f>CHOOSE(BikeData[[#This Row],[season]],"Winter","Spring","Summer","Fall")</f>
        <v>Summer</v>
      </c>
      <c r="T593" t="str">
        <f>TEXT(DATE(2000,BikeData[[#This Row],[mnth]],1),"mmmm")</f>
        <v>August</v>
      </c>
      <c r="U593" t="str">
        <f>IF(BikeData[[#This Row],[workingday]]=1,"Working Day","Non-working Day")</f>
        <v>Working Day</v>
      </c>
      <c r="V593" t="str">
        <f>CHOOSE(BikeData[[#This Row],[weekday]]+1,"Sunday","Monday","Tuesday","Wednesday","Thursday","Friday","Saturday")</f>
        <v>Tuesday</v>
      </c>
      <c r="W593" t="str">
        <f>CHOOSE(BikeData[[#This Row],[weathersit]],"Clear / Few Clouds","Mist / Cloudy","Light Rain / Snow","Heavy Rain / Snow")</f>
        <v>Clear / Few Clouds</v>
      </c>
    </row>
    <row r="594" spans="1:23" x14ac:dyDescent="0.3">
      <c r="A594">
        <v>593</v>
      </c>
      <c r="B594" s="1">
        <v>41136</v>
      </c>
      <c r="C594">
        <v>3</v>
      </c>
      <c r="D594">
        <v>1</v>
      </c>
      <c r="E594">
        <v>8</v>
      </c>
      <c r="F594">
        <v>0</v>
      </c>
      <c r="G594">
        <v>3</v>
      </c>
      <c r="H594">
        <v>1</v>
      </c>
      <c r="I594">
        <v>1</v>
      </c>
      <c r="J594">
        <v>0.70666700000000005</v>
      </c>
      <c r="K594">
        <v>0.65403699999999998</v>
      </c>
      <c r="L594">
        <v>0.61958299999999999</v>
      </c>
      <c r="M594">
        <v>0.16977100000000001</v>
      </c>
      <c r="N594">
        <v>1198</v>
      </c>
      <c r="O594">
        <v>6149</v>
      </c>
      <c r="P594">
        <v>7347</v>
      </c>
      <c r="Q594" t="str">
        <f>IF(BikeData[[#This Row],[casual]]+BikeData[[#This Row],[registered]]=BikeData[[#This Row],[cnt]],"OK","Check")</f>
        <v>OK</v>
      </c>
      <c r="R594">
        <f>IF(BikeData[[#This Row],[yr]]=0,2011,2012)</f>
        <v>2012</v>
      </c>
      <c r="S594" t="str">
        <f>CHOOSE(BikeData[[#This Row],[season]],"Winter","Spring","Summer","Fall")</f>
        <v>Summer</v>
      </c>
      <c r="T594" t="str">
        <f>TEXT(DATE(2000,BikeData[[#This Row],[mnth]],1),"mmmm")</f>
        <v>August</v>
      </c>
      <c r="U594" t="str">
        <f>IF(BikeData[[#This Row],[workingday]]=1,"Working Day","Non-working Day")</f>
        <v>Working Day</v>
      </c>
      <c r="V594" t="str">
        <f>CHOOSE(BikeData[[#This Row],[weekday]]+1,"Sunday","Monday","Tuesday","Wednesday","Thursday","Friday","Saturday")</f>
        <v>Wednesday</v>
      </c>
      <c r="W594" t="str">
        <f>CHOOSE(BikeData[[#This Row],[weathersit]],"Clear / Few Clouds","Mist / Cloudy","Light Rain / Snow","Heavy Rain / Snow")</f>
        <v>Clear / Few Clouds</v>
      </c>
    </row>
    <row r="595" spans="1:23" x14ac:dyDescent="0.3">
      <c r="A595">
        <v>594</v>
      </c>
      <c r="B595" s="1">
        <v>41137</v>
      </c>
      <c r="C595">
        <v>3</v>
      </c>
      <c r="D595">
        <v>1</v>
      </c>
      <c r="E595">
        <v>8</v>
      </c>
      <c r="F595">
        <v>0</v>
      </c>
      <c r="G595">
        <v>4</v>
      </c>
      <c r="H595">
        <v>1</v>
      </c>
      <c r="I595">
        <v>1</v>
      </c>
      <c r="J595">
        <v>0.719167</v>
      </c>
      <c r="K595">
        <v>0.65468800000000005</v>
      </c>
      <c r="L595">
        <v>0.51916700000000005</v>
      </c>
      <c r="M595">
        <v>0.14179600000000001</v>
      </c>
      <c r="N595">
        <v>1338</v>
      </c>
      <c r="O595">
        <v>6267</v>
      </c>
      <c r="P595">
        <v>7605</v>
      </c>
      <c r="Q595" t="str">
        <f>IF(BikeData[[#This Row],[casual]]+BikeData[[#This Row],[registered]]=BikeData[[#This Row],[cnt]],"OK","Check")</f>
        <v>OK</v>
      </c>
      <c r="R595">
        <f>IF(BikeData[[#This Row],[yr]]=0,2011,2012)</f>
        <v>2012</v>
      </c>
      <c r="S595" t="str">
        <f>CHOOSE(BikeData[[#This Row],[season]],"Winter","Spring","Summer","Fall")</f>
        <v>Summer</v>
      </c>
      <c r="T595" t="str">
        <f>TEXT(DATE(2000,BikeData[[#This Row],[mnth]],1),"mmmm")</f>
        <v>August</v>
      </c>
      <c r="U595" t="str">
        <f>IF(BikeData[[#This Row],[workingday]]=1,"Working Day","Non-working Day")</f>
        <v>Working Day</v>
      </c>
      <c r="V595" t="str">
        <f>CHOOSE(BikeData[[#This Row],[weekday]]+1,"Sunday","Monday","Tuesday","Wednesday","Thursday","Friday","Saturday")</f>
        <v>Thursday</v>
      </c>
      <c r="W595" t="str">
        <f>CHOOSE(BikeData[[#This Row],[weathersit]],"Clear / Few Clouds","Mist / Cloudy","Light Rain / Snow","Heavy Rain / Snow")</f>
        <v>Clear / Few Clouds</v>
      </c>
    </row>
    <row r="596" spans="1:23" x14ac:dyDescent="0.3">
      <c r="A596">
        <v>595</v>
      </c>
      <c r="B596" s="1">
        <v>41138</v>
      </c>
      <c r="C596">
        <v>3</v>
      </c>
      <c r="D596">
        <v>1</v>
      </c>
      <c r="E596">
        <v>8</v>
      </c>
      <c r="F596">
        <v>0</v>
      </c>
      <c r="G596">
        <v>5</v>
      </c>
      <c r="H596">
        <v>1</v>
      </c>
      <c r="I596">
        <v>1</v>
      </c>
      <c r="J596">
        <v>0.723333</v>
      </c>
      <c r="K596">
        <v>0.2424</v>
      </c>
      <c r="L596">
        <v>0.57083300000000003</v>
      </c>
      <c r="M596">
        <v>0.231354</v>
      </c>
      <c r="N596">
        <v>1483</v>
      </c>
      <c r="O596">
        <v>5665</v>
      </c>
      <c r="P596">
        <v>7148</v>
      </c>
      <c r="Q596" t="str">
        <f>IF(BikeData[[#This Row],[casual]]+BikeData[[#This Row],[registered]]=BikeData[[#This Row],[cnt]],"OK","Check")</f>
        <v>OK</v>
      </c>
      <c r="R596">
        <f>IF(BikeData[[#This Row],[yr]]=0,2011,2012)</f>
        <v>2012</v>
      </c>
      <c r="S596" t="str">
        <f>CHOOSE(BikeData[[#This Row],[season]],"Winter","Spring","Summer","Fall")</f>
        <v>Summer</v>
      </c>
      <c r="T596" t="str">
        <f>TEXT(DATE(2000,BikeData[[#This Row],[mnth]],1),"mmmm")</f>
        <v>August</v>
      </c>
      <c r="U596" t="str">
        <f>IF(BikeData[[#This Row],[workingday]]=1,"Working Day","Non-working Day")</f>
        <v>Working Day</v>
      </c>
      <c r="V596" t="str">
        <f>CHOOSE(BikeData[[#This Row],[weekday]]+1,"Sunday","Monday","Tuesday","Wednesday","Thursday","Friday","Saturday")</f>
        <v>Friday</v>
      </c>
      <c r="W596" t="str">
        <f>CHOOSE(BikeData[[#This Row],[weathersit]],"Clear / Few Clouds","Mist / Cloudy","Light Rain / Snow","Heavy Rain / Snow")</f>
        <v>Clear / Few Clouds</v>
      </c>
    </row>
    <row r="597" spans="1:23" x14ac:dyDescent="0.3">
      <c r="A597">
        <v>596</v>
      </c>
      <c r="B597" s="1">
        <v>41139</v>
      </c>
      <c r="C597">
        <v>3</v>
      </c>
      <c r="D597">
        <v>1</v>
      </c>
      <c r="E597">
        <v>8</v>
      </c>
      <c r="F597">
        <v>0</v>
      </c>
      <c r="G597">
        <v>6</v>
      </c>
      <c r="H597">
        <v>0</v>
      </c>
      <c r="I597">
        <v>1</v>
      </c>
      <c r="J597">
        <v>0.67833299999999996</v>
      </c>
      <c r="K597">
        <v>0.61807100000000004</v>
      </c>
      <c r="L597">
        <v>0.60333300000000001</v>
      </c>
      <c r="M597">
        <v>0.177867</v>
      </c>
      <c r="N597">
        <v>2827</v>
      </c>
      <c r="O597">
        <v>5038</v>
      </c>
      <c r="P597">
        <v>7865</v>
      </c>
      <c r="Q597" t="str">
        <f>IF(BikeData[[#This Row],[casual]]+BikeData[[#This Row],[registered]]=BikeData[[#This Row],[cnt]],"OK","Check")</f>
        <v>OK</v>
      </c>
      <c r="R597">
        <f>IF(BikeData[[#This Row],[yr]]=0,2011,2012)</f>
        <v>2012</v>
      </c>
      <c r="S597" t="str">
        <f>CHOOSE(BikeData[[#This Row],[season]],"Winter","Spring","Summer","Fall")</f>
        <v>Summer</v>
      </c>
      <c r="T597" t="str">
        <f>TEXT(DATE(2000,BikeData[[#This Row],[mnth]],1),"mmmm")</f>
        <v>August</v>
      </c>
      <c r="U597" t="str">
        <f>IF(BikeData[[#This Row],[workingday]]=1,"Working Day","Non-working Day")</f>
        <v>Non-working Day</v>
      </c>
      <c r="V597" t="str">
        <f>CHOOSE(BikeData[[#This Row],[weekday]]+1,"Sunday","Monday","Tuesday","Wednesday","Thursday","Friday","Saturday")</f>
        <v>Saturday</v>
      </c>
      <c r="W597" t="str">
        <f>CHOOSE(BikeData[[#This Row],[weathersit]],"Clear / Few Clouds","Mist / Cloudy","Light Rain / Snow","Heavy Rain / Snow")</f>
        <v>Clear / Few Clouds</v>
      </c>
    </row>
    <row r="598" spans="1:23" x14ac:dyDescent="0.3">
      <c r="A598">
        <v>597</v>
      </c>
      <c r="B598" s="1">
        <v>41140</v>
      </c>
      <c r="C598">
        <v>3</v>
      </c>
      <c r="D598">
        <v>1</v>
      </c>
      <c r="E598">
        <v>8</v>
      </c>
      <c r="F598">
        <v>0</v>
      </c>
      <c r="G598">
        <v>0</v>
      </c>
      <c r="H598">
        <v>0</v>
      </c>
      <c r="I598">
        <v>2</v>
      </c>
      <c r="J598">
        <v>0.63583299999999998</v>
      </c>
      <c r="K598">
        <v>0.60355400000000003</v>
      </c>
      <c r="L598">
        <v>0.71166700000000005</v>
      </c>
      <c r="M598">
        <v>8.6449999999999999E-2</v>
      </c>
      <c r="N598">
        <v>1208</v>
      </c>
      <c r="O598">
        <v>3341</v>
      </c>
      <c r="P598">
        <v>4549</v>
      </c>
      <c r="Q598" t="str">
        <f>IF(BikeData[[#This Row],[casual]]+BikeData[[#This Row],[registered]]=BikeData[[#This Row],[cnt]],"OK","Check")</f>
        <v>OK</v>
      </c>
      <c r="R598">
        <f>IF(BikeData[[#This Row],[yr]]=0,2011,2012)</f>
        <v>2012</v>
      </c>
      <c r="S598" t="str">
        <f>CHOOSE(BikeData[[#This Row],[season]],"Winter","Spring","Summer","Fall")</f>
        <v>Summer</v>
      </c>
      <c r="T598" t="str">
        <f>TEXT(DATE(2000,BikeData[[#This Row],[mnth]],1),"mmmm")</f>
        <v>August</v>
      </c>
      <c r="U598" t="str">
        <f>IF(BikeData[[#This Row],[workingday]]=1,"Working Day","Non-working Day")</f>
        <v>Non-working Day</v>
      </c>
      <c r="V598" t="str">
        <f>CHOOSE(BikeData[[#This Row],[weekday]]+1,"Sunday","Monday","Tuesday","Wednesday","Thursday","Friday","Saturday")</f>
        <v>Sunday</v>
      </c>
      <c r="W598" t="str">
        <f>CHOOSE(BikeData[[#This Row],[weathersit]],"Clear / Few Clouds","Mist / Cloudy","Light Rain / Snow","Heavy Rain / Snow")</f>
        <v>Mist / Cloudy</v>
      </c>
    </row>
    <row r="599" spans="1:23" x14ac:dyDescent="0.3">
      <c r="A599">
        <v>598</v>
      </c>
      <c r="B599" s="1">
        <v>41141</v>
      </c>
      <c r="C599">
        <v>3</v>
      </c>
      <c r="D599">
        <v>1</v>
      </c>
      <c r="E599">
        <v>8</v>
      </c>
      <c r="F599">
        <v>0</v>
      </c>
      <c r="G599">
        <v>1</v>
      </c>
      <c r="H599">
        <v>1</v>
      </c>
      <c r="I599">
        <v>2</v>
      </c>
      <c r="J599">
        <v>0.63583299999999998</v>
      </c>
      <c r="K599">
        <v>0.59596700000000002</v>
      </c>
      <c r="L599">
        <v>0.73416700000000001</v>
      </c>
      <c r="M599">
        <v>0.12997900000000001</v>
      </c>
      <c r="N599">
        <v>1026</v>
      </c>
      <c r="O599">
        <v>5504</v>
      </c>
      <c r="P599">
        <v>6530</v>
      </c>
      <c r="Q599" t="str">
        <f>IF(BikeData[[#This Row],[casual]]+BikeData[[#This Row],[registered]]=BikeData[[#This Row],[cnt]],"OK","Check")</f>
        <v>OK</v>
      </c>
      <c r="R599">
        <f>IF(BikeData[[#This Row],[yr]]=0,2011,2012)</f>
        <v>2012</v>
      </c>
      <c r="S599" t="str">
        <f>CHOOSE(BikeData[[#This Row],[season]],"Winter","Spring","Summer","Fall")</f>
        <v>Summer</v>
      </c>
      <c r="T599" t="str">
        <f>TEXT(DATE(2000,BikeData[[#This Row],[mnth]],1),"mmmm")</f>
        <v>August</v>
      </c>
      <c r="U599" t="str">
        <f>IF(BikeData[[#This Row],[workingday]]=1,"Working Day","Non-working Day")</f>
        <v>Working Day</v>
      </c>
      <c r="V599" t="str">
        <f>CHOOSE(BikeData[[#This Row],[weekday]]+1,"Sunday","Monday","Tuesday","Wednesday","Thursday","Friday","Saturday")</f>
        <v>Monday</v>
      </c>
      <c r="W599" t="str">
        <f>CHOOSE(BikeData[[#This Row],[weathersit]],"Clear / Few Clouds","Mist / Cloudy","Light Rain / Snow","Heavy Rain / Snow")</f>
        <v>Mist / Cloudy</v>
      </c>
    </row>
    <row r="600" spans="1:23" x14ac:dyDescent="0.3">
      <c r="A600">
        <v>599</v>
      </c>
      <c r="B600" s="1">
        <v>41142</v>
      </c>
      <c r="C600">
        <v>3</v>
      </c>
      <c r="D600">
        <v>1</v>
      </c>
      <c r="E600">
        <v>8</v>
      </c>
      <c r="F600">
        <v>0</v>
      </c>
      <c r="G600">
        <v>2</v>
      </c>
      <c r="H600">
        <v>1</v>
      </c>
      <c r="I600">
        <v>1</v>
      </c>
      <c r="J600">
        <v>0.64916700000000005</v>
      </c>
      <c r="K600">
        <v>0.60102500000000003</v>
      </c>
      <c r="L600">
        <v>0.67374999999999996</v>
      </c>
      <c r="M600">
        <v>7.2770799999999997E-2</v>
      </c>
      <c r="N600">
        <v>1081</v>
      </c>
      <c r="O600">
        <v>5925</v>
      </c>
      <c r="P600">
        <v>7006</v>
      </c>
      <c r="Q600" t="str">
        <f>IF(BikeData[[#This Row],[casual]]+BikeData[[#This Row],[registered]]=BikeData[[#This Row],[cnt]],"OK","Check")</f>
        <v>OK</v>
      </c>
      <c r="R600">
        <f>IF(BikeData[[#This Row],[yr]]=0,2011,2012)</f>
        <v>2012</v>
      </c>
      <c r="S600" t="str">
        <f>CHOOSE(BikeData[[#This Row],[season]],"Winter","Spring","Summer","Fall")</f>
        <v>Summer</v>
      </c>
      <c r="T600" t="str">
        <f>TEXT(DATE(2000,BikeData[[#This Row],[mnth]],1),"mmmm")</f>
        <v>August</v>
      </c>
      <c r="U600" t="str">
        <f>IF(BikeData[[#This Row],[workingday]]=1,"Working Day","Non-working Day")</f>
        <v>Working Day</v>
      </c>
      <c r="V600" t="str">
        <f>CHOOSE(BikeData[[#This Row],[weekday]]+1,"Sunday","Monday","Tuesday","Wednesday","Thursday","Friday","Saturday")</f>
        <v>Tuesday</v>
      </c>
      <c r="W600" t="str">
        <f>CHOOSE(BikeData[[#This Row],[weathersit]],"Clear / Few Clouds","Mist / Cloudy","Light Rain / Snow","Heavy Rain / Snow")</f>
        <v>Clear / Few Clouds</v>
      </c>
    </row>
    <row r="601" spans="1:23" x14ac:dyDescent="0.3">
      <c r="A601">
        <v>600</v>
      </c>
      <c r="B601" s="1">
        <v>41143</v>
      </c>
      <c r="C601">
        <v>3</v>
      </c>
      <c r="D601">
        <v>1</v>
      </c>
      <c r="E601">
        <v>8</v>
      </c>
      <c r="F601">
        <v>0</v>
      </c>
      <c r="G601">
        <v>3</v>
      </c>
      <c r="H601">
        <v>1</v>
      </c>
      <c r="I601">
        <v>1</v>
      </c>
      <c r="J601">
        <v>0.66749999999999998</v>
      </c>
      <c r="K601">
        <v>0.62185400000000002</v>
      </c>
      <c r="L601">
        <v>0.67708299999999999</v>
      </c>
      <c r="M601">
        <v>7.0283300000000007E-2</v>
      </c>
      <c r="N601">
        <v>1094</v>
      </c>
      <c r="O601">
        <v>6281</v>
      </c>
      <c r="P601">
        <v>7375</v>
      </c>
      <c r="Q601" t="str">
        <f>IF(BikeData[[#This Row],[casual]]+BikeData[[#This Row],[registered]]=BikeData[[#This Row],[cnt]],"OK","Check")</f>
        <v>OK</v>
      </c>
      <c r="R601">
        <f>IF(BikeData[[#This Row],[yr]]=0,2011,2012)</f>
        <v>2012</v>
      </c>
      <c r="S601" t="str">
        <f>CHOOSE(BikeData[[#This Row],[season]],"Winter","Spring","Summer","Fall")</f>
        <v>Summer</v>
      </c>
      <c r="T601" t="str">
        <f>TEXT(DATE(2000,BikeData[[#This Row],[mnth]],1),"mmmm")</f>
        <v>August</v>
      </c>
      <c r="U601" t="str">
        <f>IF(BikeData[[#This Row],[workingday]]=1,"Working Day","Non-working Day")</f>
        <v>Working Day</v>
      </c>
      <c r="V601" t="str">
        <f>CHOOSE(BikeData[[#This Row],[weekday]]+1,"Sunday","Monday","Tuesday","Wednesday","Thursday","Friday","Saturday")</f>
        <v>Wednesday</v>
      </c>
      <c r="W601" t="str">
        <f>CHOOSE(BikeData[[#This Row],[weathersit]],"Clear / Few Clouds","Mist / Cloudy","Light Rain / Snow","Heavy Rain / Snow")</f>
        <v>Clear / Few Clouds</v>
      </c>
    </row>
    <row r="602" spans="1:23" x14ac:dyDescent="0.3">
      <c r="A602">
        <v>601</v>
      </c>
      <c r="B602" s="1">
        <v>41144</v>
      </c>
      <c r="C602">
        <v>3</v>
      </c>
      <c r="D602">
        <v>1</v>
      </c>
      <c r="E602">
        <v>8</v>
      </c>
      <c r="F602">
        <v>0</v>
      </c>
      <c r="G602">
        <v>4</v>
      </c>
      <c r="H602">
        <v>1</v>
      </c>
      <c r="I602">
        <v>1</v>
      </c>
      <c r="J602">
        <v>0.69583300000000003</v>
      </c>
      <c r="K602">
        <v>0.63700800000000002</v>
      </c>
      <c r="L602">
        <v>0.63583299999999998</v>
      </c>
      <c r="M602">
        <v>8.4595799999999999E-2</v>
      </c>
      <c r="N602">
        <v>1363</v>
      </c>
      <c r="O602">
        <v>6402</v>
      </c>
      <c r="P602">
        <v>7765</v>
      </c>
      <c r="Q602" t="str">
        <f>IF(BikeData[[#This Row],[casual]]+BikeData[[#This Row],[registered]]=BikeData[[#This Row],[cnt]],"OK","Check")</f>
        <v>OK</v>
      </c>
      <c r="R602">
        <f>IF(BikeData[[#This Row],[yr]]=0,2011,2012)</f>
        <v>2012</v>
      </c>
      <c r="S602" t="str">
        <f>CHOOSE(BikeData[[#This Row],[season]],"Winter","Spring","Summer","Fall")</f>
        <v>Summer</v>
      </c>
      <c r="T602" t="str">
        <f>TEXT(DATE(2000,BikeData[[#This Row],[mnth]],1),"mmmm")</f>
        <v>August</v>
      </c>
      <c r="U602" t="str">
        <f>IF(BikeData[[#This Row],[workingday]]=1,"Working Day","Non-working Day")</f>
        <v>Working Day</v>
      </c>
      <c r="V602" t="str">
        <f>CHOOSE(BikeData[[#This Row],[weekday]]+1,"Sunday","Monday","Tuesday","Wednesday","Thursday","Friday","Saturday")</f>
        <v>Thursday</v>
      </c>
      <c r="W602" t="str">
        <f>CHOOSE(BikeData[[#This Row],[weathersit]],"Clear / Few Clouds","Mist / Cloudy","Light Rain / Snow","Heavy Rain / Snow")</f>
        <v>Clear / Few Clouds</v>
      </c>
    </row>
    <row r="603" spans="1:23" x14ac:dyDescent="0.3">
      <c r="A603">
        <v>602</v>
      </c>
      <c r="B603" s="1">
        <v>41145</v>
      </c>
      <c r="C603">
        <v>3</v>
      </c>
      <c r="D603">
        <v>1</v>
      </c>
      <c r="E603">
        <v>8</v>
      </c>
      <c r="F603">
        <v>0</v>
      </c>
      <c r="G603">
        <v>5</v>
      </c>
      <c r="H603">
        <v>1</v>
      </c>
      <c r="I603">
        <v>2</v>
      </c>
      <c r="J603">
        <v>0.70250000000000001</v>
      </c>
      <c r="K603">
        <v>0.64710000000000001</v>
      </c>
      <c r="L603">
        <v>0.61499999999999999</v>
      </c>
      <c r="M603">
        <v>7.2145799999999996E-2</v>
      </c>
      <c r="N603">
        <v>1325</v>
      </c>
      <c r="O603">
        <v>6257</v>
      </c>
      <c r="P603">
        <v>7582</v>
      </c>
      <c r="Q603" t="str">
        <f>IF(BikeData[[#This Row],[casual]]+BikeData[[#This Row],[registered]]=BikeData[[#This Row],[cnt]],"OK","Check")</f>
        <v>OK</v>
      </c>
      <c r="R603">
        <f>IF(BikeData[[#This Row],[yr]]=0,2011,2012)</f>
        <v>2012</v>
      </c>
      <c r="S603" t="str">
        <f>CHOOSE(BikeData[[#This Row],[season]],"Winter","Spring","Summer","Fall")</f>
        <v>Summer</v>
      </c>
      <c r="T603" t="str">
        <f>TEXT(DATE(2000,BikeData[[#This Row],[mnth]],1),"mmmm")</f>
        <v>August</v>
      </c>
      <c r="U603" t="str">
        <f>IF(BikeData[[#This Row],[workingday]]=1,"Working Day","Non-working Day")</f>
        <v>Working Day</v>
      </c>
      <c r="V603" t="str">
        <f>CHOOSE(BikeData[[#This Row],[weekday]]+1,"Sunday","Monday","Tuesday","Wednesday","Thursday","Friday","Saturday")</f>
        <v>Friday</v>
      </c>
      <c r="W603" t="str">
        <f>CHOOSE(BikeData[[#This Row],[weathersit]],"Clear / Few Clouds","Mist / Cloudy","Light Rain / Snow","Heavy Rain / Snow")</f>
        <v>Mist / Cloudy</v>
      </c>
    </row>
    <row r="604" spans="1:23" x14ac:dyDescent="0.3">
      <c r="A604">
        <v>603</v>
      </c>
      <c r="B604" s="1">
        <v>41146</v>
      </c>
      <c r="C604">
        <v>3</v>
      </c>
      <c r="D604">
        <v>1</v>
      </c>
      <c r="E604">
        <v>8</v>
      </c>
      <c r="F604">
        <v>0</v>
      </c>
      <c r="G604">
        <v>6</v>
      </c>
      <c r="H604">
        <v>0</v>
      </c>
      <c r="I604">
        <v>2</v>
      </c>
      <c r="J604">
        <v>0.66166700000000001</v>
      </c>
      <c r="K604">
        <v>0.61869600000000002</v>
      </c>
      <c r="L604">
        <v>0.71291700000000002</v>
      </c>
      <c r="M604">
        <v>0.24440799999999999</v>
      </c>
      <c r="N604">
        <v>1829</v>
      </c>
      <c r="O604">
        <v>4224</v>
      </c>
      <c r="P604">
        <v>6053</v>
      </c>
      <c r="Q604" t="str">
        <f>IF(BikeData[[#This Row],[casual]]+BikeData[[#This Row],[registered]]=BikeData[[#This Row],[cnt]],"OK","Check")</f>
        <v>OK</v>
      </c>
      <c r="R604">
        <f>IF(BikeData[[#This Row],[yr]]=0,2011,2012)</f>
        <v>2012</v>
      </c>
      <c r="S604" t="str">
        <f>CHOOSE(BikeData[[#This Row],[season]],"Winter","Spring","Summer","Fall")</f>
        <v>Summer</v>
      </c>
      <c r="T604" t="str">
        <f>TEXT(DATE(2000,BikeData[[#This Row],[mnth]],1),"mmmm")</f>
        <v>August</v>
      </c>
      <c r="U604" t="str">
        <f>IF(BikeData[[#This Row],[workingday]]=1,"Working Day","Non-working Day")</f>
        <v>Non-working Day</v>
      </c>
      <c r="V604" t="str">
        <f>CHOOSE(BikeData[[#This Row],[weekday]]+1,"Sunday","Monday","Tuesday","Wednesday","Thursday","Friday","Saturday")</f>
        <v>Saturday</v>
      </c>
      <c r="W604" t="str">
        <f>CHOOSE(BikeData[[#This Row],[weathersit]],"Clear / Few Clouds","Mist / Cloudy","Light Rain / Snow","Heavy Rain / Snow")</f>
        <v>Mist / Cloudy</v>
      </c>
    </row>
    <row r="605" spans="1:23" x14ac:dyDescent="0.3">
      <c r="A605">
        <v>604</v>
      </c>
      <c r="B605" s="1">
        <v>41147</v>
      </c>
      <c r="C605">
        <v>3</v>
      </c>
      <c r="D605">
        <v>1</v>
      </c>
      <c r="E605">
        <v>8</v>
      </c>
      <c r="F605">
        <v>0</v>
      </c>
      <c r="G605">
        <v>0</v>
      </c>
      <c r="H605">
        <v>0</v>
      </c>
      <c r="I605">
        <v>2</v>
      </c>
      <c r="J605">
        <v>0.65333300000000005</v>
      </c>
      <c r="K605">
        <v>0.59599599999999997</v>
      </c>
      <c r="L605">
        <v>0.84583299999999995</v>
      </c>
      <c r="M605">
        <v>0.22885800000000001</v>
      </c>
      <c r="N605">
        <v>1483</v>
      </c>
      <c r="O605">
        <v>3772</v>
      </c>
      <c r="P605">
        <v>5255</v>
      </c>
      <c r="Q605" t="str">
        <f>IF(BikeData[[#This Row],[casual]]+BikeData[[#This Row],[registered]]=BikeData[[#This Row],[cnt]],"OK","Check")</f>
        <v>OK</v>
      </c>
      <c r="R605">
        <f>IF(BikeData[[#This Row],[yr]]=0,2011,2012)</f>
        <v>2012</v>
      </c>
      <c r="S605" t="str">
        <f>CHOOSE(BikeData[[#This Row],[season]],"Winter","Spring","Summer","Fall")</f>
        <v>Summer</v>
      </c>
      <c r="T605" t="str">
        <f>TEXT(DATE(2000,BikeData[[#This Row],[mnth]],1),"mmmm")</f>
        <v>August</v>
      </c>
      <c r="U605" t="str">
        <f>IF(BikeData[[#This Row],[workingday]]=1,"Working Day","Non-working Day")</f>
        <v>Non-working Day</v>
      </c>
      <c r="V605" t="str">
        <f>CHOOSE(BikeData[[#This Row],[weekday]]+1,"Sunday","Monday","Tuesday","Wednesday","Thursday","Friday","Saturday")</f>
        <v>Sunday</v>
      </c>
      <c r="W605" t="str">
        <f>CHOOSE(BikeData[[#This Row],[weathersit]],"Clear / Few Clouds","Mist / Cloudy","Light Rain / Snow","Heavy Rain / Snow")</f>
        <v>Mist / Cloudy</v>
      </c>
    </row>
    <row r="606" spans="1:23" x14ac:dyDescent="0.3">
      <c r="A606">
        <v>605</v>
      </c>
      <c r="B606" s="1">
        <v>41148</v>
      </c>
      <c r="C606">
        <v>3</v>
      </c>
      <c r="D606">
        <v>1</v>
      </c>
      <c r="E606">
        <v>8</v>
      </c>
      <c r="F606">
        <v>0</v>
      </c>
      <c r="G606">
        <v>1</v>
      </c>
      <c r="H606">
        <v>1</v>
      </c>
      <c r="I606">
        <v>1</v>
      </c>
      <c r="J606">
        <v>0.70333299999999999</v>
      </c>
      <c r="K606">
        <v>0.65468800000000005</v>
      </c>
      <c r="L606">
        <v>0.73041699999999998</v>
      </c>
      <c r="M606">
        <v>0.12873299999999999</v>
      </c>
      <c r="N606">
        <v>989</v>
      </c>
      <c r="O606">
        <v>5928</v>
      </c>
      <c r="P606">
        <v>6917</v>
      </c>
      <c r="Q606" t="str">
        <f>IF(BikeData[[#This Row],[casual]]+BikeData[[#This Row],[registered]]=BikeData[[#This Row],[cnt]],"OK","Check")</f>
        <v>OK</v>
      </c>
      <c r="R606">
        <f>IF(BikeData[[#This Row],[yr]]=0,2011,2012)</f>
        <v>2012</v>
      </c>
      <c r="S606" t="str">
        <f>CHOOSE(BikeData[[#This Row],[season]],"Winter","Spring","Summer","Fall")</f>
        <v>Summer</v>
      </c>
      <c r="T606" t="str">
        <f>TEXT(DATE(2000,BikeData[[#This Row],[mnth]],1),"mmmm")</f>
        <v>August</v>
      </c>
      <c r="U606" t="str">
        <f>IF(BikeData[[#This Row],[workingday]]=1,"Working Day","Non-working Day")</f>
        <v>Working Day</v>
      </c>
      <c r="V606" t="str">
        <f>CHOOSE(BikeData[[#This Row],[weekday]]+1,"Sunday","Monday","Tuesday","Wednesday","Thursday","Friday","Saturday")</f>
        <v>Monday</v>
      </c>
      <c r="W606" t="str">
        <f>CHOOSE(BikeData[[#This Row],[weathersit]],"Clear / Few Clouds","Mist / Cloudy","Light Rain / Snow","Heavy Rain / Snow")</f>
        <v>Clear / Few Clouds</v>
      </c>
    </row>
    <row r="607" spans="1:23" x14ac:dyDescent="0.3">
      <c r="A607">
        <v>606</v>
      </c>
      <c r="B607" s="1">
        <v>41149</v>
      </c>
      <c r="C607">
        <v>3</v>
      </c>
      <c r="D607">
        <v>1</v>
      </c>
      <c r="E607">
        <v>8</v>
      </c>
      <c r="F607">
        <v>0</v>
      </c>
      <c r="G607">
        <v>2</v>
      </c>
      <c r="H607">
        <v>1</v>
      </c>
      <c r="I607">
        <v>1</v>
      </c>
      <c r="J607">
        <v>0.72833300000000001</v>
      </c>
      <c r="K607">
        <v>0.66605000000000003</v>
      </c>
      <c r="L607">
        <v>0.62</v>
      </c>
      <c r="M607">
        <v>0.19092500000000001</v>
      </c>
      <c r="N607">
        <v>935</v>
      </c>
      <c r="O607">
        <v>6105</v>
      </c>
      <c r="P607">
        <v>7040</v>
      </c>
      <c r="Q607" t="str">
        <f>IF(BikeData[[#This Row],[casual]]+BikeData[[#This Row],[registered]]=BikeData[[#This Row],[cnt]],"OK","Check")</f>
        <v>OK</v>
      </c>
      <c r="R607">
        <f>IF(BikeData[[#This Row],[yr]]=0,2011,2012)</f>
        <v>2012</v>
      </c>
      <c r="S607" t="str">
        <f>CHOOSE(BikeData[[#This Row],[season]],"Winter","Spring","Summer","Fall")</f>
        <v>Summer</v>
      </c>
      <c r="T607" t="str">
        <f>TEXT(DATE(2000,BikeData[[#This Row],[mnth]],1),"mmmm")</f>
        <v>August</v>
      </c>
      <c r="U607" t="str">
        <f>IF(BikeData[[#This Row],[workingday]]=1,"Working Day","Non-working Day")</f>
        <v>Working Day</v>
      </c>
      <c r="V607" t="str">
        <f>CHOOSE(BikeData[[#This Row],[weekday]]+1,"Sunday","Monday","Tuesday","Wednesday","Thursday","Friday","Saturday")</f>
        <v>Tuesday</v>
      </c>
      <c r="W607" t="str">
        <f>CHOOSE(BikeData[[#This Row],[weathersit]],"Clear / Few Clouds","Mist / Cloudy","Light Rain / Snow","Heavy Rain / Snow")</f>
        <v>Clear / Few Clouds</v>
      </c>
    </row>
    <row r="608" spans="1:23" x14ac:dyDescent="0.3">
      <c r="A608">
        <v>607</v>
      </c>
      <c r="B608" s="1">
        <v>41150</v>
      </c>
      <c r="C608">
        <v>3</v>
      </c>
      <c r="D608">
        <v>1</v>
      </c>
      <c r="E608">
        <v>8</v>
      </c>
      <c r="F608">
        <v>0</v>
      </c>
      <c r="G608">
        <v>3</v>
      </c>
      <c r="H608">
        <v>1</v>
      </c>
      <c r="I608">
        <v>1</v>
      </c>
      <c r="J608">
        <v>0.68500000000000005</v>
      </c>
      <c r="K608">
        <v>0.63573299999999999</v>
      </c>
      <c r="L608">
        <v>0.55208299999999999</v>
      </c>
      <c r="M608">
        <v>0.112562</v>
      </c>
      <c r="N608">
        <v>1177</v>
      </c>
      <c r="O608">
        <v>6520</v>
      </c>
      <c r="P608">
        <v>7697</v>
      </c>
      <c r="Q608" t="str">
        <f>IF(BikeData[[#This Row],[casual]]+BikeData[[#This Row],[registered]]=BikeData[[#This Row],[cnt]],"OK","Check")</f>
        <v>OK</v>
      </c>
      <c r="R608">
        <f>IF(BikeData[[#This Row],[yr]]=0,2011,2012)</f>
        <v>2012</v>
      </c>
      <c r="S608" t="str">
        <f>CHOOSE(BikeData[[#This Row],[season]],"Winter","Spring","Summer","Fall")</f>
        <v>Summer</v>
      </c>
      <c r="T608" t="str">
        <f>TEXT(DATE(2000,BikeData[[#This Row],[mnth]],1),"mmmm")</f>
        <v>August</v>
      </c>
      <c r="U608" t="str">
        <f>IF(BikeData[[#This Row],[workingday]]=1,"Working Day","Non-working Day")</f>
        <v>Working Day</v>
      </c>
      <c r="V608" t="str">
        <f>CHOOSE(BikeData[[#This Row],[weekday]]+1,"Sunday","Monday","Tuesday","Wednesday","Thursday","Friday","Saturday")</f>
        <v>Wednesday</v>
      </c>
      <c r="W608" t="str">
        <f>CHOOSE(BikeData[[#This Row],[weathersit]],"Clear / Few Clouds","Mist / Cloudy","Light Rain / Snow","Heavy Rain / Snow")</f>
        <v>Clear / Few Clouds</v>
      </c>
    </row>
    <row r="609" spans="1:23" x14ac:dyDescent="0.3">
      <c r="A609">
        <v>608</v>
      </c>
      <c r="B609" s="1">
        <v>41151</v>
      </c>
      <c r="C609">
        <v>3</v>
      </c>
      <c r="D609">
        <v>1</v>
      </c>
      <c r="E609">
        <v>8</v>
      </c>
      <c r="F609">
        <v>0</v>
      </c>
      <c r="G609">
        <v>4</v>
      </c>
      <c r="H609">
        <v>1</v>
      </c>
      <c r="I609">
        <v>1</v>
      </c>
      <c r="J609">
        <v>0.70666700000000005</v>
      </c>
      <c r="K609">
        <v>0.652779</v>
      </c>
      <c r="L609">
        <v>0.59041699999999997</v>
      </c>
      <c r="M609">
        <v>7.7116699999999996E-2</v>
      </c>
      <c r="N609">
        <v>1172</v>
      </c>
      <c r="O609">
        <v>6541</v>
      </c>
      <c r="P609">
        <v>7713</v>
      </c>
      <c r="Q609" t="str">
        <f>IF(BikeData[[#This Row],[casual]]+BikeData[[#This Row],[registered]]=BikeData[[#This Row],[cnt]],"OK","Check")</f>
        <v>OK</v>
      </c>
      <c r="R609">
        <f>IF(BikeData[[#This Row],[yr]]=0,2011,2012)</f>
        <v>2012</v>
      </c>
      <c r="S609" t="str">
        <f>CHOOSE(BikeData[[#This Row],[season]],"Winter","Spring","Summer","Fall")</f>
        <v>Summer</v>
      </c>
      <c r="T609" t="str">
        <f>TEXT(DATE(2000,BikeData[[#This Row],[mnth]],1),"mmmm")</f>
        <v>August</v>
      </c>
      <c r="U609" t="str">
        <f>IF(BikeData[[#This Row],[workingday]]=1,"Working Day","Non-working Day")</f>
        <v>Working Day</v>
      </c>
      <c r="V609" t="str">
        <f>CHOOSE(BikeData[[#This Row],[weekday]]+1,"Sunday","Monday","Tuesday","Wednesday","Thursday","Friday","Saturday")</f>
        <v>Thursday</v>
      </c>
      <c r="W609" t="str">
        <f>CHOOSE(BikeData[[#This Row],[weathersit]],"Clear / Few Clouds","Mist / Cloudy","Light Rain / Snow","Heavy Rain / Snow")</f>
        <v>Clear / Few Clouds</v>
      </c>
    </row>
    <row r="610" spans="1:23" x14ac:dyDescent="0.3">
      <c r="A610">
        <v>609</v>
      </c>
      <c r="B610" s="1">
        <v>41152</v>
      </c>
      <c r="C610">
        <v>3</v>
      </c>
      <c r="D610">
        <v>1</v>
      </c>
      <c r="E610">
        <v>8</v>
      </c>
      <c r="F610">
        <v>0</v>
      </c>
      <c r="G610">
        <v>5</v>
      </c>
      <c r="H610">
        <v>1</v>
      </c>
      <c r="I610">
        <v>1</v>
      </c>
      <c r="J610">
        <v>0.76416700000000004</v>
      </c>
      <c r="K610">
        <v>0.68940000000000001</v>
      </c>
      <c r="L610">
        <v>0.58750000000000002</v>
      </c>
      <c r="M610">
        <v>0.16853299999999999</v>
      </c>
      <c r="N610">
        <v>1433</v>
      </c>
      <c r="O610">
        <v>5917</v>
      </c>
      <c r="P610">
        <v>7350</v>
      </c>
      <c r="Q610" t="str">
        <f>IF(BikeData[[#This Row],[casual]]+BikeData[[#This Row],[registered]]=BikeData[[#This Row],[cnt]],"OK","Check")</f>
        <v>OK</v>
      </c>
      <c r="R610">
        <f>IF(BikeData[[#This Row],[yr]]=0,2011,2012)</f>
        <v>2012</v>
      </c>
      <c r="S610" t="str">
        <f>CHOOSE(BikeData[[#This Row],[season]],"Winter","Spring","Summer","Fall")</f>
        <v>Summer</v>
      </c>
      <c r="T610" t="str">
        <f>TEXT(DATE(2000,BikeData[[#This Row],[mnth]],1),"mmmm")</f>
        <v>August</v>
      </c>
      <c r="U610" t="str">
        <f>IF(BikeData[[#This Row],[workingday]]=1,"Working Day","Non-working Day")</f>
        <v>Working Day</v>
      </c>
      <c r="V610" t="str">
        <f>CHOOSE(BikeData[[#This Row],[weekday]]+1,"Sunday","Monday","Tuesday","Wednesday","Thursday","Friday","Saturday")</f>
        <v>Friday</v>
      </c>
      <c r="W610" t="str">
        <f>CHOOSE(BikeData[[#This Row],[weathersit]],"Clear / Few Clouds","Mist / Cloudy","Light Rain / Snow","Heavy Rain / Snow")</f>
        <v>Clear / Few Clouds</v>
      </c>
    </row>
    <row r="611" spans="1:23" x14ac:dyDescent="0.3">
      <c r="A611">
        <v>610</v>
      </c>
      <c r="B611" s="1">
        <v>41153</v>
      </c>
      <c r="C611">
        <v>3</v>
      </c>
      <c r="D611">
        <v>1</v>
      </c>
      <c r="E611">
        <v>9</v>
      </c>
      <c r="F611">
        <v>0</v>
      </c>
      <c r="G611">
        <v>6</v>
      </c>
      <c r="H611">
        <v>0</v>
      </c>
      <c r="I611">
        <v>2</v>
      </c>
      <c r="J611">
        <v>0.75333300000000003</v>
      </c>
      <c r="K611">
        <v>0.702654</v>
      </c>
      <c r="L611">
        <v>0.63833300000000004</v>
      </c>
      <c r="M611">
        <v>0.113187</v>
      </c>
      <c r="N611">
        <v>2352</v>
      </c>
      <c r="O611">
        <v>3788</v>
      </c>
      <c r="P611">
        <v>6140</v>
      </c>
      <c r="Q611" t="str">
        <f>IF(BikeData[[#This Row],[casual]]+BikeData[[#This Row],[registered]]=BikeData[[#This Row],[cnt]],"OK","Check")</f>
        <v>OK</v>
      </c>
      <c r="R611">
        <f>IF(BikeData[[#This Row],[yr]]=0,2011,2012)</f>
        <v>2012</v>
      </c>
      <c r="S611" t="str">
        <f>CHOOSE(BikeData[[#This Row],[season]],"Winter","Spring","Summer","Fall")</f>
        <v>Summer</v>
      </c>
      <c r="T611" t="str">
        <f>TEXT(DATE(2000,BikeData[[#This Row],[mnth]],1),"mmmm")</f>
        <v>September</v>
      </c>
      <c r="U611" t="str">
        <f>IF(BikeData[[#This Row],[workingday]]=1,"Working Day","Non-working Day")</f>
        <v>Non-working Day</v>
      </c>
      <c r="V611" t="str">
        <f>CHOOSE(BikeData[[#This Row],[weekday]]+1,"Sunday","Monday","Tuesday","Wednesday","Thursday","Friday","Saturday")</f>
        <v>Saturday</v>
      </c>
      <c r="W611" t="str">
        <f>CHOOSE(BikeData[[#This Row],[weathersit]],"Clear / Few Clouds","Mist / Cloudy","Light Rain / Snow","Heavy Rain / Snow")</f>
        <v>Mist / Cloudy</v>
      </c>
    </row>
    <row r="612" spans="1:23" x14ac:dyDescent="0.3">
      <c r="A612">
        <v>611</v>
      </c>
      <c r="B612" s="1">
        <v>41154</v>
      </c>
      <c r="C612">
        <v>3</v>
      </c>
      <c r="D612">
        <v>1</v>
      </c>
      <c r="E612">
        <v>9</v>
      </c>
      <c r="F612">
        <v>0</v>
      </c>
      <c r="G612">
        <v>0</v>
      </c>
      <c r="H612">
        <v>0</v>
      </c>
      <c r="I612">
        <v>2</v>
      </c>
      <c r="J612">
        <v>0.69666700000000004</v>
      </c>
      <c r="K612">
        <v>0.64900000000000002</v>
      </c>
      <c r="L612">
        <v>0.81499999999999995</v>
      </c>
      <c r="M612">
        <v>6.4070799999999997E-2</v>
      </c>
      <c r="N612">
        <v>2613</v>
      </c>
      <c r="O612">
        <v>3197</v>
      </c>
      <c r="P612">
        <v>5810</v>
      </c>
      <c r="Q612" t="str">
        <f>IF(BikeData[[#This Row],[casual]]+BikeData[[#This Row],[registered]]=BikeData[[#This Row],[cnt]],"OK","Check")</f>
        <v>OK</v>
      </c>
      <c r="R612">
        <f>IF(BikeData[[#This Row],[yr]]=0,2011,2012)</f>
        <v>2012</v>
      </c>
      <c r="S612" t="str">
        <f>CHOOSE(BikeData[[#This Row],[season]],"Winter","Spring","Summer","Fall")</f>
        <v>Summer</v>
      </c>
      <c r="T612" t="str">
        <f>TEXT(DATE(2000,BikeData[[#This Row],[mnth]],1),"mmmm")</f>
        <v>September</v>
      </c>
      <c r="U612" t="str">
        <f>IF(BikeData[[#This Row],[workingday]]=1,"Working Day","Non-working Day")</f>
        <v>Non-working Day</v>
      </c>
      <c r="V612" t="str">
        <f>CHOOSE(BikeData[[#This Row],[weekday]]+1,"Sunday","Monday","Tuesday","Wednesday","Thursday","Friday","Saturday")</f>
        <v>Sunday</v>
      </c>
      <c r="W612" t="str">
        <f>CHOOSE(BikeData[[#This Row],[weathersit]],"Clear / Few Clouds","Mist / Cloudy","Light Rain / Snow","Heavy Rain / Snow")</f>
        <v>Mist / Cloudy</v>
      </c>
    </row>
    <row r="613" spans="1:23" x14ac:dyDescent="0.3">
      <c r="A613">
        <v>612</v>
      </c>
      <c r="B613" s="1">
        <v>41155</v>
      </c>
      <c r="C613">
        <v>3</v>
      </c>
      <c r="D613">
        <v>1</v>
      </c>
      <c r="E613">
        <v>9</v>
      </c>
      <c r="F613">
        <v>1</v>
      </c>
      <c r="G613">
        <v>1</v>
      </c>
      <c r="H613">
        <v>0</v>
      </c>
      <c r="I613">
        <v>1</v>
      </c>
      <c r="J613">
        <v>0.70750000000000002</v>
      </c>
      <c r="K613">
        <v>0.66162900000000002</v>
      </c>
      <c r="L613">
        <v>0.79083300000000001</v>
      </c>
      <c r="M613">
        <v>0.15112100000000001</v>
      </c>
      <c r="N613">
        <v>1965</v>
      </c>
      <c r="O613">
        <v>4069</v>
      </c>
      <c r="P613">
        <v>6034</v>
      </c>
      <c r="Q613" t="str">
        <f>IF(BikeData[[#This Row],[casual]]+BikeData[[#This Row],[registered]]=BikeData[[#This Row],[cnt]],"OK","Check")</f>
        <v>OK</v>
      </c>
      <c r="R613">
        <f>IF(BikeData[[#This Row],[yr]]=0,2011,2012)</f>
        <v>2012</v>
      </c>
      <c r="S613" t="str">
        <f>CHOOSE(BikeData[[#This Row],[season]],"Winter","Spring","Summer","Fall")</f>
        <v>Summer</v>
      </c>
      <c r="T613" t="str">
        <f>TEXT(DATE(2000,BikeData[[#This Row],[mnth]],1),"mmmm")</f>
        <v>September</v>
      </c>
      <c r="U613" t="str">
        <f>IF(BikeData[[#This Row],[workingday]]=1,"Working Day","Non-working Day")</f>
        <v>Non-working Day</v>
      </c>
      <c r="V613" t="str">
        <f>CHOOSE(BikeData[[#This Row],[weekday]]+1,"Sunday","Monday","Tuesday","Wednesday","Thursday","Friday","Saturday")</f>
        <v>Monday</v>
      </c>
      <c r="W613" t="str">
        <f>CHOOSE(BikeData[[#This Row],[weathersit]],"Clear / Few Clouds","Mist / Cloudy","Light Rain / Snow","Heavy Rain / Snow")</f>
        <v>Clear / Few Clouds</v>
      </c>
    </row>
    <row r="614" spans="1:23" x14ac:dyDescent="0.3">
      <c r="A614">
        <v>613</v>
      </c>
      <c r="B614" s="1">
        <v>41156</v>
      </c>
      <c r="C614">
        <v>3</v>
      </c>
      <c r="D614">
        <v>1</v>
      </c>
      <c r="E614">
        <v>9</v>
      </c>
      <c r="F614">
        <v>0</v>
      </c>
      <c r="G614">
        <v>2</v>
      </c>
      <c r="H614">
        <v>1</v>
      </c>
      <c r="I614">
        <v>1</v>
      </c>
      <c r="J614">
        <v>0.72583299999999995</v>
      </c>
      <c r="K614">
        <v>0.68688800000000005</v>
      </c>
      <c r="L614">
        <v>0.755</v>
      </c>
      <c r="M614">
        <v>0.236321</v>
      </c>
      <c r="N614">
        <v>867</v>
      </c>
      <c r="O614">
        <v>5997</v>
      </c>
      <c r="P614">
        <v>6864</v>
      </c>
      <c r="Q614" t="str">
        <f>IF(BikeData[[#This Row],[casual]]+BikeData[[#This Row],[registered]]=BikeData[[#This Row],[cnt]],"OK","Check")</f>
        <v>OK</v>
      </c>
      <c r="R614">
        <f>IF(BikeData[[#This Row],[yr]]=0,2011,2012)</f>
        <v>2012</v>
      </c>
      <c r="S614" t="str">
        <f>CHOOSE(BikeData[[#This Row],[season]],"Winter","Spring","Summer","Fall")</f>
        <v>Summer</v>
      </c>
      <c r="T614" t="str">
        <f>TEXT(DATE(2000,BikeData[[#This Row],[mnth]],1),"mmmm")</f>
        <v>September</v>
      </c>
      <c r="U614" t="str">
        <f>IF(BikeData[[#This Row],[workingday]]=1,"Working Day","Non-working Day")</f>
        <v>Working Day</v>
      </c>
      <c r="V614" t="str">
        <f>CHOOSE(BikeData[[#This Row],[weekday]]+1,"Sunday","Monday","Tuesday","Wednesday","Thursday","Friday","Saturday")</f>
        <v>Tuesday</v>
      </c>
      <c r="W614" t="str">
        <f>CHOOSE(BikeData[[#This Row],[weathersit]],"Clear / Few Clouds","Mist / Cloudy","Light Rain / Snow","Heavy Rain / Snow")</f>
        <v>Clear / Few Clouds</v>
      </c>
    </row>
    <row r="615" spans="1:23" x14ac:dyDescent="0.3">
      <c r="A615">
        <v>614</v>
      </c>
      <c r="B615" s="1">
        <v>41157</v>
      </c>
      <c r="C615">
        <v>3</v>
      </c>
      <c r="D615">
        <v>1</v>
      </c>
      <c r="E615">
        <v>9</v>
      </c>
      <c r="F615">
        <v>0</v>
      </c>
      <c r="G615">
        <v>3</v>
      </c>
      <c r="H615">
        <v>1</v>
      </c>
      <c r="I615">
        <v>1</v>
      </c>
      <c r="J615">
        <v>0.73666699999999996</v>
      </c>
      <c r="K615">
        <v>0.70898300000000003</v>
      </c>
      <c r="L615">
        <v>0.74124999999999996</v>
      </c>
      <c r="M615">
        <v>0.187808</v>
      </c>
      <c r="N615">
        <v>832</v>
      </c>
      <c r="O615">
        <v>6280</v>
      </c>
      <c r="P615">
        <v>7112</v>
      </c>
      <c r="Q615" t="str">
        <f>IF(BikeData[[#This Row],[casual]]+BikeData[[#This Row],[registered]]=BikeData[[#This Row],[cnt]],"OK","Check")</f>
        <v>OK</v>
      </c>
      <c r="R615">
        <f>IF(BikeData[[#This Row],[yr]]=0,2011,2012)</f>
        <v>2012</v>
      </c>
      <c r="S615" t="str">
        <f>CHOOSE(BikeData[[#This Row],[season]],"Winter","Spring","Summer","Fall")</f>
        <v>Summer</v>
      </c>
      <c r="T615" t="str">
        <f>TEXT(DATE(2000,BikeData[[#This Row],[mnth]],1),"mmmm")</f>
        <v>September</v>
      </c>
      <c r="U615" t="str">
        <f>IF(BikeData[[#This Row],[workingday]]=1,"Working Day","Non-working Day")</f>
        <v>Working Day</v>
      </c>
      <c r="V615" t="str">
        <f>CHOOSE(BikeData[[#This Row],[weekday]]+1,"Sunday","Monday","Tuesday","Wednesday","Thursday","Friday","Saturday")</f>
        <v>Wednesday</v>
      </c>
      <c r="W615" t="str">
        <f>CHOOSE(BikeData[[#This Row],[weathersit]],"Clear / Few Clouds","Mist / Cloudy","Light Rain / Snow","Heavy Rain / Snow")</f>
        <v>Clear / Few Clouds</v>
      </c>
    </row>
    <row r="616" spans="1:23" x14ac:dyDescent="0.3">
      <c r="A616">
        <v>615</v>
      </c>
      <c r="B616" s="1">
        <v>41158</v>
      </c>
      <c r="C616">
        <v>3</v>
      </c>
      <c r="D616">
        <v>1</v>
      </c>
      <c r="E616">
        <v>9</v>
      </c>
      <c r="F616">
        <v>0</v>
      </c>
      <c r="G616">
        <v>4</v>
      </c>
      <c r="H616">
        <v>1</v>
      </c>
      <c r="I616">
        <v>2</v>
      </c>
      <c r="J616">
        <v>0.69666700000000004</v>
      </c>
      <c r="K616">
        <v>0.65532900000000005</v>
      </c>
      <c r="L616">
        <v>0.81041700000000005</v>
      </c>
      <c r="M616">
        <v>0.14242099999999999</v>
      </c>
      <c r="N616">
        <v>611</v>
      </c>
      <c r="O616">
        <v>5592</v>
      </c>
      <c r="P616">
        <v>6203</v>
      </c>
      <c r="Q616" t="str">
        <f>IF(BikeData[[#This Row],[casual]]+BikeData[[#This Row],[registered]]=BikeData[[#This Row],[cnt]],"OK","Check")</f>
        <v>OK</v>
      </c>
      <c r="R616">
        <f>IF(BikeData[[#This Row],[yr]]=0,2011,2012)</f>
        <v>2012</v>
      </c>
      <c r="S616" t="str">
        <f>CHOOSE(BikeData[[#This Row],[season]],"Winter","Spring","Summer","Fall")</f>
        <v>Summer</v>
      </c>
      <c r="T616" t="str">
        <f>TEXT(DATE(2000,BikeData[[#This Row],[mnth]],1),"mmmm")</f>
        <v>September</v>
      </c>
      <c r="U616" t="str">
        <f>IF(BikeData[[#This Row],[workingday]]=1,"Working Day","Non-working Day")</f>
        <v>Working Day</v>
      </c>
      <c r="V616" t="str">
        <f>CHOOSE(BikeData[[#This Row],[weekday]]+1,"Sunday","Monday","Tuesday","Wednesday","Thursday","Friday","Saturday")</f>
        <v>Thursday</v>
      </c>
      <c r="W616" t="str">
        <f>CHOOSE(BikeData[[#This Row],[weathersit]],"Clear / Few Clouds","Mist / Cloudy","Light Rain / Snow","Heavy Rain / Snow")</f>
        <v>Mist / Cloudy</v>
      </c>
    </row>
    <row r="617" spans="1:23" x14ac:dyDescent="0.3">
      <c r="A617">
        <v>616</v>
      </c>
      <c r="B617" s="1">
        <v>41159</v>
      </c>
      <c r="C617">
        <v>3</v>
      </c>
      <c r="D617">
        <v>1</v>
      </c>
      <c r="E617">
        <v>9</v>
      </c>
      <c r="F617">
        <v>0</v>
      </c>
      <c r="G617">
        <v>5</v>
      </c>
      <c r="H617">
        <v>1</v>
      </c>
      <c r="I617">
        <v>1</v>
      </c>
      <c r="J617">
        <v>0.70333299999999999</v>
      </c>
      <c r="K617">
        <v>0.65720400000000001</v>
      </c>
      <c r="L617">
        <v>0.73624999999999996</v>
      </c>
      <c r="M617">
        <v>0.17164599999999999</v>
      </c>
      <c r="N617">
        <v>1045</v>
      </c>
      <c r="O617">
        <v>6459</v>
      </c>
      <c r="P617">
        <v>7504</v>
      </c>
      <c r="Q617" t="str">
        <f>IF(BikeData[[#This Row],[casual]]+BikeData[[#This Row],[registered]]=BikeData[[#This Row],[cnt]],"OK","Check")</f>
        <v>OK</v>
      </c>
      <c r="R617">
        <f>IF(BikeData[[#This Row],[yr]]=0,2011,2012)</f>
        <v>2012</v>
      </c>
      <c r="S617" t="str">
        <f>CHOOSE(BikeData[[#This Row],[season]],"Winter","Spring","Summer","Fall")</f>
        <v>Summer</v>
      </c>
      <c r="T617" t="str">
        <f>TEXT(DATE(2000,BikeData[[#This Row],[mnth]],1),"mmmm")</f>
        <v>September</v>
      </c>
      <c r="U617" t="str">
        <f>IF(BikeData[[#This Row],[workingday]]=1,"Working Day","Non-working Day")</f>
        <v>Working Day</v>
      </c>
      <c r="V617" t="str">
        <f>CHOOSE(BikeData[[#This Row],[weekday]]+1,"Sunday","Monday","Tuesday","Wednesday","Thursday","Friday","Saturday")</f>
        <v>Friday</v>
      </c>
      <c r="W617" t="str">
        <f>CHOOSE(BikeData[[#This Row],[weathersit]],"Clear / Few Clouds","Mist / Cloudy","Light Rain / Snow","Heavy Rain / Snow")</f>
        <v>Clear / Few Clouds</v>
      </c>
    </row>
    <row r="618" spans="1:23" x14ac:dyDescent="0.3">
      <c r="A618">
        <v>617</v>
      </c>
      <c r="B618" s="1">
        <v>41160</v>
      </c>
      <c r="C618">
        <v>3</v>
      </c>
      <c r="D618">
        <v>1</v>
      </c>
      <c r="E618">
        <v>9</v>
      </c>
      <c r="F618">
        <v>0</v>
      </c>
      <c r="G618">
        <v>6</v>
      </c>
      <c r="H618">
        <v>0</v>
      </c>
      <c r="I618">
        <v>2</v>
      </c>
      <c r="J618">
        <v>0.65916699999999995</v>
      </c>
      <c r="K618">
        <v>0.61112100000000003</v>
      </c>
      <c r="L618">
        <v>0.79916699999999996</v>
      </c>
      <c r="M618">
        <v>0.28110400000000002</v>
      </c>
      <c r="N618">
        <v>1557</v>
      </c>
      <c r="O618">
        <v>4419</v>
      </c>
      <c r="P618">
        <v>5976</v>
      </c>
      <c r="Q618" t="str">
        <f>IF(BikeData[[#This Row],[casual]]+BikeData[[#This Row],[registered]]=BikeData[[#This Row],[cnt]],"OK","Check")</f>
        <v>OK</v>
      </c>
      <c r="R618">
        <f>IF(BikeData[[#This Row],[yr]]=0,2011,2012)</f>
        <v>2012</v>
      </c>
      <c r="S618" t="str">
        <f>CHOOSE(BikeData[[#This Row],[season]],"Winter","Spring","Summer","Fall")</f>
        <v>Summer</v>
      </c>
      <c r="T618" t="str">
        <f>TEXT(DATE(2000,BikeData[[#This Row],[mnth]],1),"mmmm")</f>
        <v>September</v>
      </c>
      <c r="U618" t="str">
        <f>IF(BikeData[[#This Row],[workingday]]=1,"Working Day","Non-working Day")</f>
        <v>Non-working Day</v>
      </c>
      <c r="V618" t="str">
        <f>CHOOSE(BikeData[[#This Row],[weekday]]+1,"Sunday","Monday","Tuesday","Wednesday","Thursday","Friday","Saturday")</f>
        <v>Saturday</v>
      </c>
      <c r="W618" t="str">
        <f>CHOOSE(BikeData[[#This Row],[weathersit]],"Clear / Few Clouds","Mist / Cloudy","Light Rain / Snow","Heavy Rain / Snow")</f>
        <v>Mist / Cloudy</v>
      </c>
    </row>
    <row r="619" spans="1:23" x14ac:dyDescent="0.3">
      <c r="A619">
        <v>618</v>
      </c>
      <c r="B619" s="1">
        <v>41161</v>
      </c>
      <c r="C619">
        <v>3</v>
      </c>
      <c r="D619">
        <v>1</v>
      </c>
      <c r="E619">
        <v>9</v>
      </c>
      <c r="F619">
        <v>0</v>
      </c>
      <c r="G619">
        <v>0</v>
      </c>
      <c r="H619">
        <v>0</v>
      </c>
      <c r="I619">
        <v>1</v>
      </c>
      <c r="J619">
        <v>0.61</v>
      </c>
      <c r="K619">
        <v>0.57892500000000002</v>
      </c>
      <c r="L619">
        <v>0.54749999999999999</v>
      </c>
      <c r="M619">
        <v>0.224496</v>
      </c>
      <c r="N619">
        <v>2570</v>
      </c>
      <c r="O619">
        <v>5657</v>
      </c>
      <c r="P619">
        <v>8227</v>
      </c>
      <c r="Q619" t="str">
        <f>IF(BikeData[[#This Row],[casual]]+BikeData[[#This Row],[registered]]=BikeData[[#This Row],[cnt]],"OK","Check")</f>
        <v>OK</v>
      </c>
      <c r="R619">
        <f>IF(BikeData[[#This Row],[yr]]=0,2011,2012)</f>
        <v>2012</v>
      </c>
      <c r="S619" t="str">
        <f>CHOOSE(BikeData[[#This Row],[season]],"Winter","Spring","Summer","Fall")</f>
        <v>Summer</v>
      </c>
      <c r="T619" t="str">
        <f>TEXT(DATE(2000,BikeData[[#This Row],[mnth]],1),"mmmm")</f>
        <v>September</v>
      </c>
      <c r="U619" t="str">
        <f>IF(BikeData[[#This Row],[workingday]]=1,"Working Day","Non-working Day")</f>
        <v>Non-working Day</v>
      </c>
      <c r="V619" t="str">
        <f>CHOOSE(BikeData[[#This Row],[weekday]]+1,"Sunday","Monday","Tuesday","Wednesday","Thursday","Friday","Saturday")</f>
        <v>Sunday</v>
      </c>
      <c r="W619" t="str">
        <f>CHOOSE(BikeData[[#This Row],[weathersit]],"Clear / Few Clouds","Mist / Cloudy","Light Rain / Snow","Heavy Rain / Snow")</f>
        <v>Clear / Few Clouds</v>
      </c>
    </row>
    <row r="620" spans="1:23" x14ac:dyDescent="0.3">
      <c r="A620">
        <v>619</v>
      </c>
      <c r="B620" s="1">
        <v>41162</v>
      </c>
      <c r="C620">
        <v>3</v>
      </c>
      <c r="D620">
        <v>1</v>
      </c>
      <c r="E620">
        <v>9</v>
      </c>
      <c r="F620">
        <v>0</v>
      </c>
      <c r="G620">
        <v>1</v>
      </c>
      <c r="H620">
        <v>1</v>
      </c>
      <c r="I620">
        <v>1</v>
      </c>
      <c r="J620">
        <v>0.58333299999999999</v>
      </c>
      <c r="K620">
        <v>0.56565399999999999</v>
      </c>
      <c r="L620">
        <v>0.50375000000000003</v>
      </c>
      <c r="M620">
        <v>0.25871300000000003</v>
      </c>
      <c r="N620">
        <v>1118</v>
      </c>
      <c r="O620">
        <v>6407</v>
      </c>
      <c r="P620">
        <v>7525</v>
      </c>
      <c r="Q620" t="str">
        <f>IF(BikeData[[#This Row],[casual]]+BikeData[[#This Row],[registered]]=BikeData[[#This Row],[cnt]],"OK","Check")</f>
        <v>OK</v>
      </c>
      <c r="R620">
        <f>IF(BikeData[[#This Row],[yr]]=0,2011,2012)</f>
        <v>2012</v>
      </c>
      <c r="S620" t="str">
        <f>CHOOSE(BikeData[[#This Row],[season]],"Winter","Spring","Summer","Fall")</f>
        <v>Summer</v>
      </c>
      <c r="T620" t="str">
        <f>TEXT(DATE(2000,BikeData[[#This Row],[mnth]],1),"mmmm")</f>
        <v>September</v>
      </c>
      <c r="U620" t="str">
        <f>IF(BikeData[[#This Row],[workingday]]=1,"Working Day","Non-working Day")</f>
        <v>Working Day</v>
      </c>
      <c r="V620" t="str">
        <f>CHOOSE(BikeData[[#This Row],[weekday]]+1,"Sunday","Monday","Tuesday","Wednesday","Thursday","Friday","Saturday")</f>
        <v>Monday</v>
      </c>
      <c r="W620" t="str">
        <f>CHOOSE(BikeData[[#This Row],[weathersit]],"Clear / Few Clouds","Mist / Cloudy","Light Rain / Snow","Heavy Rain / Snow")</f>
        <v>Clear / Few Clouds</v>
      </c>
    </row>
    <row r="621" spans="1:23" x14ac:dyDescent="0.3">
      <c r="A621">
        <v>620</v>
      </c>
      <c r="B621" s="1">
        <v>41163</v>
      </c>
      <c r="C621">
        <v>3</v>
      </c>
      <c r="D621">
        <v>1</v>
      </c>
      <c r="E621">
        <v>9</v>
      </c>
      <c r="F621">
        <v>0</v>
      </c>
      <c r="G621">
        <v>2</v>
      </c>
      <c r="H621">
        <v>1</v>
      </c>
      <c r="I621">
        <v>1</v>
      </c>
      <c r="J621">
        <v>0.57750000000000001</v>
      </c>
      <c r="K621">
        <v>0.55429200000000001</v>
      </c>
      <c r="L621">
        <v>0.52</v>
      </c>
      <c r="M621">
        <v>9.2054200000000003E-2</v>
      </c>
      <c r="N621">
        <v>1070</v>
      </c>
      <c r="O621">
        <v>6697</v>
      </c>
      <c r="P621">
        <v>7767</v>
      </c>
      <c r="Q621" t="str">
        <f>IF(BikeData[[#This Row],[casual]]+BikeData[[#This Row],[registered]]=BikeData[[#This Row],[cnt]],"OK","Check")</f>
        <v>OK</v>
      </c>
      <c r="R621">
        <f>IF(BikeData[[#This Row],[yr]]=0,2011,2012)</f>
        <v>2012</v>
      </c>
      <c r="S621" t="str">
        <f>CHOOSE(BikeData[[#This Row],[season]],"Winter","Spring","Summer","Fall")</f>
        <v>Summer</v>
      </c>
      <c r="T621" t="str">
        <f>TEXT(DATE(2000,BikeData[[#This Row],[mnth]],1),"mmmm")</f>
        <v>September</v>
      </c>
      <c r="U621" t="str">
        <f>IF(BikeData[[#This Row],[workingday]]=1,"Working Day","Non-working Day")</f>
        <v>Working Day</v>
      </c>
      <c r="V621" t="str">
        <f>CHOOSE(BikeData[[#This Row],[weekday]]+1,"Sunday","Monday","Tuesday","Wednesday","Thursday","Friday","Saturday")</f>
        <v>Tuesday</v>
      </c>
      <c r="W621" t="str">
        <f>CHOOSE(BikeData[[#This Row],[weathersit]],"Clear / Few Clouds","Mist / Cloudy","Light Rain / Snow","Heavy Rain / Snow")</f>
        <v>Clear / Few Clouds</v>
      </c>
    </row>
    <row r="622" spans="1:23" x14ac:dyDescent="0.3">
      <c r="A622">
        <v>621</v>
      </c>
      <c r="B622" s="1">
        <v>41164</v>
      </c>
      <c r="C622">
        <v>3</v>
      </c>
      <c r="D622">
        <v>1</v>
      </c>
      <c r="E622">
        <v>9</v>
      </c>
      <c r="F622">
        <v>0</v>
      </c>
      <c r="G622">
        <v>3</v>
      </c>
      <c r="H622">
        <v>1</v>
      </c>
      <c r="I622">
        <v>1</v>
      </c>
      <c r="J622">
        <v>0.59916700000000001</v>
      </c>
      <c r="K622">
        <v>0.570075</v>
      </c>
      <c r="L622">
        <v>0.57708300000000001</v>
      </c>
      <c r="M622">
        <v>0.13184599999999999</v>
      </c>
      <c r="N622">
        <v>1050</v>
      </c>
      <c r="O622">
        <v>6820</v>
      </c>
      <c r="P622">
        <v>7870</v>
      </c>
      <c r="Q622" t="str">
        <f>IF(BikeData[[#This Row],[casual]]+BikeData[[#This Row],[registered]]=BikeData[[#This Row],[cnt]],"OK","Check")</f>
        <v>OK</v>
      </c>
      <c r="R622">
        <f>IF(BikeData[[#This Row],[yr]]=0,2011,2012)</f>
        <v>2012</v>
      </c>
      <c r="S622" t="str">
        <f>CHOOSE(BikeData[[#This Row],[season]],"Winter","Spring","Summer","Fall")</f>
        <v>Summer</v>
      </c>
      <c r="T622" t="str">
        <f>TEXT(DATE(2000,BikeData[[#This Row],[mnth]],1),"mmmm")</f>
        <v>September</v>
      </c>
      <c r="U622" t="str">
        <f>IF(BikeData[[#This Row],[workingday]]=1,"Working Day","Non-working Day")</f>
        <v>Working Day</v>
      </c>
      <c r="V622" t="str">
        <f>CHOOSE(BikeData[[#This Row],[weekday]]+1,"Sunday","Monday","Tuesday","Wednesday","Thursday","Friday","Saturday")</f>
        <v>Wednesday</v>
      </c>
      <c r="W622" t="str">
        <f>CHOOSE(BikeData[[#This Row],[weathersit]],"Clear / Few Clouds","Mist / Cloudy","Light Rain / Snow","Heavy Rain / Snow")</f>
        <v>Clear / Few Clouds</v>
      </c>
    </row>
    <row r="623" spans="1:23" x14ac:dyDescent="0.3">
      <c r="A623">
        <v>622</v>
      </c>
      <c r="B623" s="1">
        <v>41165</v>
      </c>
      <c r="C623">
        <v>3</v>
      </c>
      <c r="D623">
        <v>1</v>
      </c>
      <c r="E623">
        <v>9</v>
      </c>
      <c r="F623">
        <v>0</v>
      </c>
      <c r="G623">
        <v>4</v>
      </c>
      <c r="H623">
        <v>1</v>
      </c>
      <c r="I623">
        <v>1</v>
      </c>
      <c r="J623">
        <v>0.61250000000000004</v>
      </c>
      <c r="K623">
        <v>0.57955800000000002</v>
      </c>
      <c r="L623">
        <v>0.63708299999999995</v>
      </c>
      <c r="M623">
        <v>8.2720799999999997E-2</v>
      </c>
      <c r="N623">
        <v>1054</v>
      </c>
      <c r="O623">
        <v>6750</v>
      </c>
      <c r="P623">
        <v>7804</v>
      </c>
      <c r="Q623" t="str">
        <f>IF(BikeData[[#This Row],[casual]]+BikeData[[#This Row],[registered]]=BikeData[[#This Row],[cnt]],"OK","Check")</f>
        <v>OK</v>
      </c>
      <c r="R623">
        <f>IF(BikeData[[#This Row],[yr]]=0,2011,2012)</f>
        <v>2012</v>
      </c>
      <c r="S623" t="str">
        <f>CHOOSE(BikeData[[#This Row],[season]],"Winter","Spring","Summer","Fall")</f>
        <v>Summer</v>
      </c>
      <c r="T623" t="str">
        <f>TEXT(DATE(2000,BikeData[[#This Row],[mnth]],1),"mmmm")</f>
        <v>September</v>
      </c>
      <c r="U623" t="str">
        <f>IF(BikeData[[#This Row],[workingday]]=1,"Working Day","Non-working Day")</f>
        <v>Working Day</v>
      </c>
      <c r="V623" t="str">
        <f>CHOOSE(BikeData[[#This Row],[weekday]]+1,"Sunday","Monday","Tuesday","Wednesday","Thursday","Friday","Saturday")</f>
        <v>Thursday</v>
      </c>
      <c r="W623" t="str">
        <f>CHOOSE(BikeData[[#This Row],[weathersit]],"Clear / Few Clouds","Mist / Cloudy","Light Rain / Snow","Heavy Rain / Snow")</f>
        <v>Clear / Few Clouds</v>
      </c>
    </row>
    <row r="624" spans="1:23" x14ac:dyDescent="0.3">
      <c r="A624">
        <v>623</v>
      </c>
      <c r="B624" s="1">
        <v>41166</v>
      </c>
      <c r="C624">
        <v>3</v>
      </c>
      <c r="D624">
        <v>1</v>
      </c>
      <c r="E624">
        <v>9</v>
      </c>
      <c r="F624">
        <v>0</v>
      </c>
      <c r="G624">
        <v>5</v>
      </c>
      <c r="H624">
        <v>1</v>
      </c>
      <c r="I624">
        <v>1</v>
      </c>
      <c r="J624">
        <v>0.63333300000000003</v>
      </c>
      <c r="K624">
        <v>0.59408300000000003</v>
      </c>
      <c r="L624">
        <v>0.67249999999999999</v>
      </c>
      <c r="M624">
        <v>0.103863</v>
      </c>
      <c r="N624">
        <v>1379</v>
      </c>
      <c r="O624">
        <v>6630</v>
      </c>
      <c r="P624">
        <v>8009</v>
      </c>
      <c r="Q624" t="str">
        <f>IF(BikeData[[#This Row],[casual]]+BikeData[[#This Row],[registered]]=BikeData[[#This Row],[cnt]],"OK","Check")</f>
        <v>OK</v>
      </c>
      <c r="R624">
        <f>IF(BikeData[[#This Row],[yr]]=0,2011,2012)</f>
        <v>2012</v>
      </c>
      <c r="S624" t="str">
        <f>CHOOSE(BikeData[[#This Row],[season]],"Winter","Spring","Summer","Fall")</f>
        <v>Summer</v>
      </c>
      <c r="T624" t="str">
        <f>TEXT(DATE(2000,BikeData[[#This Row],[mnth]],1),"mmmm")</f>
        <v>September</v>
      </c>
      <c r="U624" t="str">
        <f>IF(BikeData[[#This Row],[workingday]]=1,"Working Day","Non-working Day")</f>
        <v>Working Day</v>
      </c>
      <c r="V624" t="str">
        <f>CHOOSE(BikeData[[#This Row],[weekday]]+1,"Sunday","Monday","Tuesday","Wednesday","Thursday","Friday","Saturday")</f>
        <v>Friday</v>
      </c>
      <c r="W624" t="str">
        <f>CHOOSE(BikeData[[#This Row],[weathersit]],"Clear / Few Clouds","Mist / Cloudy","Light Rain / Snow","Heavy Rain / Snow")</f>
        <v>Clear / Few Clouds</v>
      </c>
    </row>
    <row r="625" spans="1:23" x14ac:dyDescent="0.3">
      <c r="A625">
        <v>624</v>
      </c>
      <c r="B625" s="1">
        <v>41167</v>
      </c>
      <c r="C625">
        <v>3</v>
      </c>
      <c r="D625">
        <v>1</v>
      </c>
      <c r="E625">
        <v>9</v>
      </c>
      <c r="F625">
        <v>0</v>
      </c>
      <c r="G625">
        <v>6</v>
      </c>
      <c r="H625">
        <v>0</v>
      </c>
      <c r="I625">
        <v>1</v>
      </c>
      <c r="J625">
        <v>0.60833300000000001</v>
      </c>
      <c r="K625">
        <v>0.58586700000000003</v>
      </c>
      <c r="L625">
        <v>0.50166699999999997</v>
      </c>
      <c r="M625">
        <v>0.24752099999999999</v>
      </c>
      <c r="N625">
        <v>3160</v>
      </c>
      <c r="O625">
        <v>5554</v>
      </c>
      <c r="P625">
        <v>8714</v>
      </c>
      <c r="Q625" t="str">
        <f>IF(BikeData[[#This Row],[casual]]+BikeData[[#This Row],[registered]]=BikeData[[#This Row],[cnt]],"OK","Check")</f>
        <v>OK</v>
      </c>
      <c r="R625">
        <f>IF(BikeData[[#This Row],[yr]]=0,2011,2012)</f>
        <v>2012</v>
      </c>
      <c r="S625" t="str">
        <f>CHOOSE(BikeData[[#This Row],[season]],"Winter","Spring","Summer","Fall")</f>
        <v>Summer</v>
      </c>
      <c r="T625" t="str">
        <f>TEXT(DATE(2000,BikeData[[#This Row],[mnth]],1),"mmmm")</f>
        <v>September</v>
      </c>
      <c r="U625" t="str">
        <f>IF(BikeData[[#This Row],[workingday]]=1,"Working Day","Non-working Day")</f>
        <v>Non-working Day</v>
      </c>
      <c r="V625" t="str">
        <f>CHOOSE(BikeData[[#This Row],[weekday]]+1,"Sunday","Monday","Tuesday","Wednesday","Thursday","Friday","Saturday")</f>
        <v>Saturday</v>
      </c>
      <c r="W625" t="str">
        <f>CHOOSE(BikeData[[#This Row],[weathersit]],"Clear / Few Clouds","Mist / Cloudy","Light Rain / Snow","Heavy Rain / Snow")</f>
        <v>Clear / Few Clouds</v>
      </c>
    </row>
    <row r="626" spans="1:23" x14ac:dyDescent="0.3">
      <c r="A626">
        <v>625</v>
      </c>
      <c r="B626" s="1">
        <v>41168</v>
      </c>
      <c r="C626">
        <v>3</v>
      </c>
      <c r="D626">
        <v>1</v>
      </c>
      <c r="E626">
        <v>9</v>
      </c>
      <c r="F626">
        <v>0</v>
      </c>
      <c r="G626">
        <v>0</v>
      </c>
      <c r="H626">
        <v>0</v>
      </c>
      <c r="I626">
        <v>1</v>
      </c>
      <c r="J626">
        <v>0.57999999999999996</v>
      </c>
      <c r="K626">
        <v>0.56312499999999999</v>
      </c>
      <c r="L626">
        <v>0.56999999999999995</v>
      </c>
      <c r="M626">
        <v>9.0183299999999994E-2</v>
      </c>
      <c r="N626">
        <v>2166</v>
      </c>
      <c r="O626">
        <v>5167</v>
      </c>
      <c r="P626">
        <v>7333</v>
      </c>
      <c r="Q626" t="str">
        <f>IF(BikeData[[#This Row],[casual]]+BikeData[[#This Row],[registered]]=BikeData[[#This Row],[cnt]],"OK","Check")</f>
        <v>OK</v>
      </c>
      <c r="R626">
        <f>IF(BikeData[[#This Row],[yr]]=0,2011,2012)</f>
        <v>2012</v>
      </c>
      <c r="S626" t="str">
        <f>CHOOSE(BikeData[[#This Row],[season]],"Winter","Spring","Summer","Fall")</f>
        <v>Summer</v>
      </c>
      <c r="T626" t="str">
        <f>TEXT(DATE(2000,BikeData[[#This Row],[mnth]],1),"mmmm")</f>
        <v>September</v>
      </c>
      <c r="U626" t="str">
        <f>IF(BikeData[[#This Row],[workingday]]=1,"Working Day","Non-working Day")</f>
        <v>Non-working Day</v>
      </c>
      <c r="V626" t="str">
        <f>CHOOSE(BikeData[[#This Row],[weekday]]+1,"Sunday","Monday","Tuesday","Wednesday","Thursday","Friday","Saturday")</f>
        <v>Sunday</v>
      </c>
      <c r="W626" t="str">
        <f>CHOOSE(BikeData[[#This Row],[weathersit]],"Clear / Few Clouds","Mist / Cloudy","Light Rain / Snow","Heavy Rain / Snow")</f>
        <v>Clear / Few Clouds</v>
      </c>
    </row>
    <row r="627" spans="1:23" x14ac:dyDescent="0.3">
      <c r="A627">
        <v>626</v>
      </c>
      <c r="B627" s="1">
        <v>41169</v>
      </c>
      <c r="C627">
        <v>3</v>
      </c>
      <c r="D627">
        <v>1</v>
      </c>
      <c r="E627">
        <v>9</v>
      </c>
      <c r="F627">
        <v>0</v>
      </c>
      <c r="G627">
        <v>1</v>
      </c>
      <c r="H627">
        <v>1</v>
      </c>
      <c r="I627">
        <v>2</v>
      </c>
      <c r="J627">
        <v>0.58083300000000004</v>
      </c>
      <c r="K627">
        <v>0.55305000000000004</v>
      </c>
      <c r="L627">
        <v>0.73458299999999999</v>
      </c>
      <c r="M627">
        <v>0.15174199999999999</v>
      </c>
      <c r="N627">
        <v>1022</v>
      </c>
      <c r="O627">
        <v>5847</v>
      </c>
      <c r="P627">
        <v>6869</v>
      </c>
      <c r="Q627" t="str">
        <f>IF(BikeData[[#This Row],[casual]]+BikeData[[#This Row],[registered]]=BikeData[[#This Row],[cnt]],"OK","Check")</f>
        <v>OK</v>
      </c>
      <c r="R627">
        <f>IF(BikeData[[#This Row],[yr]]=0,2011,2012)</f>
        <v>2012</v>
      </c>
      <c r="S627" t="str">
        <f>CHOOSE(BikeData[[#This Row],[season]],"Winter","Spring","Summer","Fall")</f>
        <v>Summer</v>
      </c>
      <c r="T627" t="str">
        <f>TEXT(DATE(2000,BikeData[[#This Row],[mnth]],1),"mmmm")</f>
        <v>September</v>
      </c>
      <c r="U627" t="str">
        <f>IF(BikeData[[#This Row],[workingday]]=1,"Working Day","Non-working Day")</f>
        <v>Working Day</v>
      </c>
      <c r="V627" t="str">
        <f>CHOOSE(BikeData[[#This Row],[weekday]]+1,"Sunday","Monday","Tuesday","Wednesday","Thursday","Friday","Saturday")</f>
        <v>Monday</v>
      </c>
      <c r="W627" t="str">
        <f>CHOOSE(BikeData[[#This Row],[weathersit]],"Clear / Few Clouds","Mist / Cloudy","Light Rain / Snow","Heavy Rain / Snow")</f>
        <v>Mist / Cloudy</v>
      </c>
    </row>
    <row r="628" spans="1:23" x14ac:dyDescent="0.3">
      <c r="A628">
        <v>627</v>
      </c>
      <c r="B628" s="1">
        <v>41170</v>
      </c>
      <c r="C628">
        <v>3</v>
      </c>
      <c r="D628">
        <v>1</v>
      </c>
      <c r="E628">
        <v>9</v>
      </c>
      <c r="F628">
        <v>0</v>
      </c>
      <c r="G628">
        <v>2</v>
      </c>
      <c r="H628">
        <v>1</v>
      </c>
      <c r="I628">
        <v>2</v>
      </c>
      <c r="J628">
        <v>0.62333300000000003</v>
      </c>
      <c r="K628">
        <v>0.56506699999999999</v>
      </c>
      <c r="L628">
        <v>0.87250000000000005</v>
      </c>
      <c r="M628">
        <v>0.35758699999999999</v>
      </c>
      <c r="N628">
        <v>371</v>
      </c>
      <c r="O628">
        <v>3702</v>
      </c>
      <c r="P628">
        <v>4073</v>
      </c>
      <c r="Q628" t="str">
        <f>IF(BikeData[[#This Row],[casual]]+BikeData[[#This Row],[registered]]=BikeData[[#This Row],[cnt]],"OK","Check")</f>
        <v>OK</v>
      </c>
      <c r="R628">
        <f>IF(BikeData[[#This Row],[yr]]=0,2011,2012)</f>
        <v>2012</v>
      </c>
      <c r="S628" t="str">
        <f>CHOOSE(BikeData[[#This Row],[season]],"Winter","Spring","Summer","Fall")</f>
        <v>Summer</v>
      </c>
      <c r="T628" t="str">
        <f>TEXT(DATE(2000,BikeData[[#This Row],[mnth]],1),"mmmm")</f>
        <v>September</v>
      </c>
      <c r="U628" t="str">
        <f>IF(BikeData[[#This Row],[workingday]]=1,"Working Day","Non-working Day")</f>
        <v>Working Day</v>
      </c>
      <c r="V628" t="str">
        <f>CHOOSE(BikeData[[#This Row],[weekday]]+1,"Sunday","Monday","Tuesday","Wednesday","Thursday","Friday","Saturday")</f>
        <v>Tuesday</v>
      </c>
      <c r="W628" t="str">
        <f>CHOOSE(BikeData[[#This Row],[weathersit]],"Clear / Few Clouds","Mist / Cloudy","Light Rain / Snow","Heavy Rain / Snow")</f>
        <v>Mist / Cloudy</v>
      </c>
    </row>
    <row r="629" spans="1:23" x14ac:dyDescent="0.3">
      <c r="A629">
        <v>628</v>
      </c>
      <c r="B629" s="1">
        <v>41171</v>
      </c>
      <c r="C629">
        <v>3</v>
      </c>
      <c r="D629">
        <v>1</v>
      </c>
      <c r="E629">
        <v>9</v>
      </c>
      <c r="F629">
        <v>0</v>
      </c>
      <c r="G629">
        <v>3</v>
      </c>
      <c r="H629">
        <v>1</v>
      </c>
      <c r="I629">
        <v>1</v>
      </c>
      <c r="J629">
        <v>0.55249999999999999</v>
      </c>
      <c r="K629">
        <v>0.540404</v>
      </c>
      <c r="L629">
        <v>0.53666700000000001</v>
      </c>
      <c r="M629">
        <v>0.21517500000000001</v>
      </c>
      <c r="N629">
        <v>788</v>
      </c>
      <c r="O629">
        <v>6803</v>
      </c>
      <c r="P629">
        <v>7591</v>
      </c>
      <c r="Q629" t="str">
        <f>IF(BikeData[[#This Row],[casual]]+BikeData[[#This Row],[registered]]=BikeData[[#This Row],[cnt]],"OK","Check")</f>
        <v>OK</v>
      </c>
      <c r="R629">
        <f>IF(BikeData[[#This Row],[yr]]=0,2011,2012)</f>
        <v>2012</v>
      </c>
      <c r="S629" t="str">
        <f>CHOOSE(BikeData[[#This Row],[season]],"Winter","Spring","Summer","Fall")</f>
        <v>Summer</v>
      </c>
      <c r="T629" t="str">
        <f>TEXT(DATE(2000,BikeData[[#This Row],[mnth]],1),"mmmm")</f>
        <v>September</v>
      </c>
      <c r="U629" t="str">
        <f>IF(BikeData[[#This Row],[workingday]]=1,"Working Day","Non-working Day")</f>
        <v>Working Day</v>
      </c>
      <c r="V629" t="str">
        <f>CHOOSE(BikeData[[#This Row],[weekday]]+1,"Sunday","Monday","Tuesday","Wednesday","Thursday","Friday","Saturday")</f>
        <v>Wednesday</v>
      </c>
      <c r="W629" t="str">
        <f>CHOOSE(BikeData[[#This Row],[weathersit]],"Clear / Few Clouds","Mist / Cloudy","Light Rain / Snow","Heavy Rain / Snow")</f>
        <v>Clear / Few Clouds</v>
      </c>
    </row>
    <row r="630" spans="1:23" x14ac:dyDescent="0.3">
      <c r="A630">
        <v>629</v>
      </c>
      <c r="B630" s="1">
        <v>41172</v>
      </c>
      <c r="C630">
        <v>3</v>
      </c>
      <c r="D630">
        <v>1</v>
      </c>
      <c r="E630">
        <v>9</v>
      </c>
      <c r="F630">
        <v>0</v>
      </c>
      <c r="G630">
        <v>4</v>
      </c>
      <c r="H630">
        <v>1</v>
      </c>
      <c r="I630">
        <v>1</v>
      </c>
      <c r="J630">
        <v>0.54666700000000001</v>
      </c>
      <c r="K630">
        <v>0.532192</v>
      </c>
      <c r="L630">
        <v>0.61833300000000002</v>
      </c>
      <c r="M630">
        <v>0.11816699999999999</v>
      </c>
      <c r="N630">
        <v>939</v>
      </c>
      <c r="O630">
        <v>6781</v>
      </c>
      <c r="P630">
        <v>7720</v>
      </c>
      <c r="Q630" t="str">
        <f>IF(BikeData[[#This Row],[casual]]+BikeData[[#This Row],[registered]]=BikeData[[#This Row],[cnt]],"OK","Check")</f>
        <v>OK</v>
      </c>
      <c r="R630">
        <f>IF(BikeData[[#This Row],[yr]]=0,2011,2012)</f>
        <v>2012</v>
      </c>
      <c r="S630" t="str">
        <f>CHOOSE(BikeData[[#This Row],[season]],"Winter","Spring","Summer","Fall")</f>
        <v>Summer</v>
      </c>
      <c r="T630" t="str">
        <f>TEXT(DATE(2000,BikeData[[#This Row],[mnth]],1),"mmmm")</f>
        <v>September</v>
      </c>
      <c r="U630" t="str">
        <f>IF(BikeData[[#This Row],[workingday]]=1,"Working Day","Non-working Day")</f>
        <v>Working Day</v>
      </c>
      <c r="V630" t="str">
        <f>CHOOSE(BikeData[[#This Row],[weekday]]+1,"Sunday","Monday","Tuesday","Wednesday","Thursday","Friday","Saturday")</f>
        <v>Thursday</v>
      </c>
      <c r="W630" t="str">
        <f>CHOOSE(BikeData[[#This Row],[weathersit]],"Clear / Few Clouds","Mist / Cloudy","Light Rain / Snow","Heavy Rain / Snow")</f>
        <v>Clear / Few Clouds</v>
      </c>
    </row>
    <row r="631" spans="1:23" x14ac:dyDescent="0.3">
      <c r="A631">
        <v>630</v>
      </c>
      <c r="B631" s="1">
        <v>41173</v>
      </c>
      <c r="C631">
        <v>3</v>
      </c>
      <c r="D631">
        <v>1</v>
      </c>
      <c r="E631">
        <v>9</v>
      </c>
      <c r="F631">
        <v>0</v>
      </c>
      <c r="G631">
        <v>5</v>
      </c>
      <c r="H631">
        <v>1</v>
      </c>
      <c r="I631">
        <v>1</v>
      </c>
      <c r="J631">
        <v>0.59916700000000001</v>
      </c>
      <c r="K631">
        <v>0.57197100000000001</v>
      </c>
      <c r="L631">
        <v>0.66874999999999996</v>
      </c>
      <c r="M631">
        <v>0.154229</v>
      </c>
      <c r="N631">
        <v>1250</v>
      </c>
      <c r="O631">
        <v>6917</v>
      </c>
      <c r="P631">
        <v>8167</v>
      </c>
      <c r="Q631" t="str">
        <f>IF(BikeData[[#This Row],[casual]]+BikeData[[#This Row],[registered]]=BikeData[[#This Row],[cnt]],"OK","Check")</f>
        <v>OK</v>
      </c>
      <c r="R631">
        <f>IF(BikeData[[#This Row],[yr]]=0,2011,2012)</f>
        <v>2012</v>
      </c>
      <c r="S631" t="str">
        <f>CHOOSE(BikeData[[#This Row],[season]],"Winter","Spring","Summer","Fall")</f>
        <v>Summer</v>
      </c>
      <c r="T631" t="str">
        <f>TEXT(DATE(2000,BikeData[[#This Row],[mnth]],1),"mmmm")</f>
        <v>September</v>
      </c>
      <c r="U631" t="str">
        <f>IF(BikeData[[#This Row],[workingday]]=1,"Working Day","Non-working Day")</f>
        <v>Working Day</v>
      </c>
      <c r="V631" t="str">
        <f>CHOOSE(BikeData[[#This Row],[weekday]]+1,"Sunday","Monday","Tuesday","Wednesday","Thursday","Friday","Saturday")</f>
        <v>Friday</v>
      </c>
      <c r="W631" t="str">
        <f>CHOOSE(BikeData[[#This Row],[weathersit]],"Clear / Few Clouds","Mist / Cloudy","Light Rain / Snow","Heavy Rain / Snow")</f>
        <v>Clear / Few Clouds</v>
      </c>
    </row>
    <row r="632" spans="1:23" x14ac:dyDescent="0.3">
      <c r="A632">
        <v>631</v>
      </c>
      <c r="B632" s="1">
        <v>41174</v>
      </c>
      <c r="C632">
        <v>3</v>
      </c>
      <c r="D632">
        <v>1</v>
      </c>
      <c r="E632">
        <v>9</v>
      </c>
      <c r="F632">
        <v>0</v>
      </c>
      <c r="G632">
        <v>6</v>
      </c>
      <c r="H632">
        <v>0</v>
      </c>
      <c r="I632">
        <v>1</v>
      </c>
      <c r="J632">
        <v>0.65</v>
      </c>
      <c r="K632">
        <v>0.61048800000000003</v>
      </c>
      <c r="L632">
        <v>0.64666699999999999</v>
      </c>
      <c r="M632">
        <v>0.28358299999999997</v>
      </c>
      <c r="N632">
        <v>2512</v>
      </c>
      <c r="O632">
        <v>5883</v>
      </c>
      <c r="P632">
        <v>8395</v>
      </c>
      <c r="Q632" t="str">
        <f>IF(BikeData[[#This Row],[casual]]+BikeData[[#This Row],[registered]]=BikeData[[#This Row],[cnt]],"OK","Check")</f>
        <v>OK</v>
      </c>
      <c r="R632">
        <f>IF(BikeData[[#This Row],[yr]]=0,2011,2012)</f>
        <v>2012</v>
      </c>
      <c r="S632" t="str">
        <f>CHOOSE(BikeData[[#This Row],[season]],"Winter","Spring","Summer","Fall")</f>
        <v>Summer</v>
      </c>
      <c r="T632" t="str">
        <f>TEXT(DATE(2000,BikeData[[#This Row],[mnth]],1),"mmmm")</f>
        <v>September</v>
      </c>
      <c r="U632" t="str">
        <f>IF(BikeData[[#This Row],[workingday]]=1,"Working Day","Non-working Day")</f>
        <v>Non-working Day</v>
      </c>
      <c r="V632" t="str">
        <f>CHOOSE(BikeData[[#This Row],[weekday]]+1,"Sunday","Monday","Tuesday","Wednesday","Thursday","Friday","Saturday")</f>
        <v>Saturday</v>
      </c>
      <c r="W632" t="str">
        <f>CHOOSE(BikeData[[#This Row],[weathersit]],"Clear / Few Clouds","Mist / Cloudy","Light Rain / Snow","Heavy Rain / Snow")</f>
        <v>Clear / Few Clouds</v>
      </c>
    </row>
    <row r="633" spans="1:23" x14ac:dyDescent="0.3">
      <c r="A633">
        <v>632</v>
      </c>
      <c r="B633" s="1">
        <v>41175</v>
      </c>
      <c r="C633">
        <v>4</v>
      </c>
      <c r="D633">
        <v>1</v>
      </c>
      <c r="E633">
        <v>9</v>
      </c>
      <c r="F633">
        <v>0</v>
      </c>
      <c r="G633">
        <v>0</v>
      </c>
      <c r="H633">
        <v>0</v>
      </c>
      <c r="I633">
        <v>1</v>
      </c>
      <c r="J633">
        <v>0.52916700000000005</v>
      </c>
      <c r="K633">
        <v>0.51893299999999998</v>
      </c>
      <c r="L633">
        <v>0.46708300000000003</v>
      </c>
      <c r="M633">
        <v>0.22325800000000001</v>
      </c>
      <c r="N633">
        <v>2454</v>
      </c>
      <c r="O633">
        <v>5453</v>
      </c>
      <c r="P633">
        <v>7907</v>
      </c>
      <c r="Q633" t="str">
        <f>IF(BikeData[[#This Row],[casual]]+BikeData[[#This Row],[registered]]=BikeData[[#This Row],[cnt]],"OK","Check")</f>
        <v>OK</v>
      </c>
      <c r="R633">
        <f>IF(BikeData[[#This Row],[yr]]=0,2011,2012)</f>
        <v>2012</v>
      </c>
      <c r="S633" t="str">
        <f>CHOOSE(BikeData[[#This Row],[season]],"Winter","Spring","Summer","Fall")</f>
        <v>Fall</v>
      </c>
      <c r="T633" t="str">
        <f>TEXT(DATE(2000,BikeData[[#This Row],[mnth]],1),"mmmm")</f>
        <v>September</v>
      </c>
      <c r="U633" t="str">
        <f>IF(BikeData[[#This Row],[workingday]]=1,"Working Day","Non-working Day")</f>
        <v>Non-working Day</v>
      </c>
      <c r="V633" t="str">
        <f>CHOOSE(BikeData[[#This Row],[weekday]]+1,"Sunday","Monday","Tuesday","Wednesday","Thursday","Friday","Saturday")</f>
        <v>Sunday</v>
      </c>
      <c r="W633" t="str">
        <f>CHOOSE(BikeData[[#This Row],[weathersit]],"Clear / Few Clouds","Mist / Cloudy","Light Rain / Snow","Heavy Rain / Snow")</f>
        <v>Clear / Few Clouds</v>
      </c>
    </row>
    <row r="634" spans="1:23" x14ac:dyDescent="0.3">
      <c r="A634">
        <v>633</v>
      </c>
      <c r="B634" s="1">
        <v>41176</v>
      </c>
      <c r="C634">
        <v>4</v>
      </c>
      <c r="D634">
        <v>1</v>
      </c>
      <c r="E634">
        <v>9</v>
      </c>
      <c r="F634">
        <v>0</v>
      </c>
      <c r="G634">
        <v>1</v>
      </c>
      <c r="H634">
        <v>1</v>
      </c>
      <c r="I634">
        <v>1</v>
      </c>
      <c r="J634">
        <v>0.51416700000000004</v>
      </c>
      <c r="K634">
        <v>0.50251299999999999</v>
      </c>
      <c r="L634">
        <v>0.49291699999999999</v>
      </c>
      <c r="M634">
        <v>0.142404</v>
      </c>
      <c r="N634">
        <v>1001</v>
      </c>
      <c r="O634">
        <v>6435</v>
      </c>
      <c r="P634">
        <v>7436</v>
      </c>
      <c r="Q634" t="str">
        <f>IF(BikeData[[#This Row],[casual]]+BikeData[[#This Row],[registered]]=BikeData[[#This Row],[cnt]],"OK","Check")</f>
        <v>OK</v>
      </c>
      <c r="R634">
        <f>IF(BikeData[[#This Row],[yr]]=0,2011,2012)</f>
        <v>2012</v>
      </c>
      <c r="S634" t="str">
        <f>CHOOSE(BikeData[[#This Row],[season]],"Winter","Spring","Summer","Fall")</f>
        <v>Fall</v>
      </c>
      <c r="T634" t="str">
        <f>TEXT(DATE(2000,BikeData[[#This Row],[mnth]],1),"mmmm")</f>
        <v>September</v>
      </c>
      <c r="U634" t="str">
        <f>IF(BikeData[[#This Row],[workingday]]=1,"Working Day","Non-working Day")</f>
        <v>Working Day</v>
      </c>
      <c r="V634" t="str">
        <f>CHOOSE(BikeData[[#This Row],[weekday]]+1,"Sunday","Monday","Tuesday","Wednesday","Thursday","Friday","Saturday")</f>
        <v>Monday</v>
      </c>
      <c r="W634" t="str">
        <f>CHOOSE(BikeData[[#This Row],[weathersit]],"Clear / Few Clouds","Mist / Cloudy","Light Rain / Snow","Heavy Rain / Snow")</f>
        <v>Clear / Few Clouds</v>
      </c>
    </row>
    <row r="635" spans="1:23" x14ac:dyDescent="0.3">
      <c r="A635">
        <v>634</v>
      </c>
      <c r="B635" s="1">
        <v>41177</v>
      </c>
      <c r="C635">
        <v>4</v>
      </c>
      <c r="D635">
        <v>1</v>
      </c>
      <c r="E635">
        <v>9</v>
      </c>
      <c r="F635">
        <v>0</v>
      </c>
      <c r="G635">
        <v>2</v>
      </c>
      <c r="H635">
        <v>1</v>
      </c>
      <c r="I635">
        <v>1</v>
      </c>
      <c r="J635">
        <v>0.55000000000000004</v>
      </c>
      <c r="K635">
        <v>0.54417899999999997</v>
      </c>
      <c r="L635">
        <v>0.56999999999999995</v>
      </c>
      <c r="M635">
        <v>0.236321</v>
      </c>
      <c r="N635">
        <v>845</v>
      </c>
      <c r="O635">
        <v>6693</v>
      </c>
      <c r="P635">
        <v>7538</v>
      </c>
      <c r="Q635" t="str">
        <f>IF(BikeData[[#This Row],[casual]]+BikeData[[#This Row],[registered]]=BikeData[[#This Row],[cnt]],"OK","Check")</f>
        <v>OK</v>
      </c>
      <c r="R635">
        <f>IF(BikeData[[#This Row],[yr]]=0,2011,2012)</f>
        <v>2012</v>
      </c>
      <c r="S635" t="str">
        <f>CHOOSE(BikeData[[#This Row],[season]],"Winter","Spring","Summer","Fall")</f>
        <v>Fall</v>
      </c>
      <c r="T635" t="str">
        <f>TEXT(DATE(2000,BikeData[[#This Row],[mnth]],1),"mmmm")</f>
        <v>September</v>
      </c>
      <c r="U635" t="str">
        <f>IF(BikeData[[#This Row],[workingday]]=1,"Working Day","Non-working Day")</f>
        <v>Working Day</v>
      </c>
      <c r="V635" t="str">
        <f>CHOOSE(BikeData[[#This Row],[weekday]]+1,"Sunday","Monday","Tuesday","Wednesday","Thursday","Friday","Saturday")</f>
        <v>Tuesday</v>
      </c>
      <c r="W635" t="str">
        <f>CHOOSE(BikeData[[#This Row],[weathersit]],"Clear / Few Clouds","Mist / Cloudy","Light Rain / Snow","Heavy Rain / Snow")</f>
        <v>Clear / Few Clouds</v>
      </c>
    </row>
    <row r="636" spans="1:23" x14ac:dyDescent="0.3">
      <c r="A636">
        <v>635</v>
      </c>
      <c r="B636" s="1">
        <v>41178</v>
      </c>
      <c r="C636">
        <v>4</v>
      </c>
      <c r="D636">
        <v>1</v>
      </c>
      <c r="E636">
        <v>9</v>
      </c>
      <c r="F636">
        <v>0</v>
      </c>
      <c r="G636">
        <v>3</v>
      </c>
      <c r="H636">
        <v>1</v>
      </c>
      <c r="I636">
        <v>1</v>
      </c>
      <c r="J636">
        <v>0.63500000000000001</v>
      </c>
      <c r="K636">
        <v>0.59661299999999995</v>
      </c>
      <c r="L636">
        <v>0.63083299999999998</v>
      </c>
      <c r="M636">
        <v>0.24440000000000001</v>
      </c>
      <c r="N636">
        <v>787</v>
      </c>
      <c r="O636">
        <v>6946</v>
      </c>
      <c r="P636">
        <v>7733</v>
      </c>
      <c r="Q636" t="str">
        <f>IF(BikeData[[#This Row],[casual]]+BikeData[[#This Row],[registered]]=BikeData[[#This Row],[cnt]],"OK","Check")</f>
        <v>OK</v>
      </c>
      <c r="R636">
        <f>IF(BikeData[[#This Row],[yr]]=0,2011,2012)</f>
        <v>2012</v>
      </c>
      <c r="S636" t="str">
        <f>CHOOSE(BikeData[[#This Row],[season]],"Winter","Spring","Summer","Fall")</f>
        <v>Fall</v>
      </c>
      <c r="T636" t="str">
        <f>TEXT(DATE(2000,BikeData[[#This Row],[mnth]],1),"mmmm")</f>
        <v>September</v>
      </c>
      <c r="U636" t="str">
        <f>IF(BikeData[[#This Row],[workingday]]=1,"Working Day","Non-working Day")</f>
        <v>Working Day</v>
      </c>
      <c r="V636" t="str">
        <f>CHOOSE(BikeData[[#This Row],[weekday]]+1,"Sunday","Monday","Tuesday","Wednesday","Thursday","Friday","Saturday")</f>
        <v>Wednesday</v>
      </c>
      <c r="W636" t="str">
        <f>CHOOSE(BikeData[[#This Row],[weathersit]],"Clear / Few Clouds","Mist / Cloudy","Light Rain / Snow","Heavy Rain / Snow")</f>
        <v>Clear / Few Clouds</v>
      </c>
    </row>
    <row r="637" spans="1:23" x14ac:dyDescent="0.3">
      <c r="A637">
        <v>636</v>
      </c>
      <c r="B637" s="1">
        <v>41179</v>
      </c>
      <c r="C637">
        <v>4</v>
      </c>
      <c r="D637">
        <v>1</v>
      </c>
      <c r="E637">
        <v>9</v>
      </c>
      <c r="F637">
        <v>0</v>
      </c>
      <c r="G637">
        <v>4</v>
      </c>
      <c r="H637">
        <v>1</v>
      </c>
      <c r="I637">
        <v>2</v>
      </c>
      <c r="J637">
        <v>0.65</v>
      </c>
      <c r="K637">
        <v>0.60797500000000004</v>
      </c>
      <c r="L637">
        <v>0.69083300000000003</v>
      </c>
      <c r="M637">
        <v>0.13434199999999999</v>
      </c>
      <c r="N637">
        <v>751</v>
      </c>
      <c r="O637">
        <v>6642</v>
      </c>
      <c r="P637">
        <v>7393</v>
      </c>
      <c r="Q637" t="str">
        <f>IF(BikeData[[#This Row],[casual]]+BikeData[[#This Row],[registered]]=BikeData[[#This Row],[cnt]],"OK","Check")</f>
        <v>OK</v>
      </c>
      <c r="R637">
        <f>IF(BikeData[[#This Row],[yr]]=0,2011,2012)</f>
        <v>2012</v>
      </c>
      <c r="S637" t="str">
        <f>CHOOSE(BikeData[[#This Row],[season]],"Winter","Spring","Summer","Fall")</f>
        <v>Fall</v>
      </c>
      <c r="T637" t="str">
        <f>TEXT(DATE(2000,BikeData[[#This Row],[mnth]],1),"mmmm")</f>
        <v>September</v>
      </c>
      <c r="U637" t="str">
        <f>IF(BikeData[[#This Row],[workingday]]=1,"Working Day","Non-working Day")</f>
        <v>Working Day</v>
      </c>
      <c r="V637" t="str">
        <f>CHOOSE(BikeData[[#This Row],[weekday]]+1,"Sunday","Monday","Tuesday","Wednesday","Thursday","Friday","Saturday")</f>
        <v>Thursday</v>
      </c>
      <c r="W637" t="str">
        <f>CHOOSE(BikeData[[#This Row],[weathersit]],"Clear / Few Clouds","Mist / Cloudy","Light Rain / Snow","Heavy Rain / Snow")</f>
        <v>Mist / Cloudy</v>
      </c>
    </row>
    <row r="638" spans="1:23" x14ac:dyDescent="0.3">
      <c r="A638">
        <v>637</v>
      </c>
      <c r="B638" s="1">
        <v>41180</v>
      </c>
      <c r="C638">
        <v>4</v>
      </c>
      <c r="D638">
        <v>1</v>
      </c>
      <c r="E638">
        <v>9</v>
      </c>
      <c r="F638">
        <v>0</v>
      </c>
      <c r="G638">
        <v>5</v>
      </c>
      <c r="H638">
        <v>1</v>
      </c>
      <c r="I638">
        <v>2</v>
      </c>
      <c r="J638">
        <v>0.61916700000000002</v>
      </c>
      <c r="K638">
        <v>0.58586300000000002</v>
      </c>
      <c r="L638">
        <v>0.69</v>
      </c>
      <c r="M638">
        <v>0.16417899999999999</v>
      </c>
      <c r="N638">
        <v>1045</v>
      </c>
      <c r="O638">
        <v>6370</v>
      </c>
      <c r="P638">
        <v>7415</v>
      </c>
      <c r="Q638" t="str">
        <f>IF(BikeData[[#This Row],[casual]]+BikeData[[#This Row],[registered]]=BikeData[[#This Row],[cnt]],"OK","Check")</f>
        <v>OK</v>
      </c>
      <c r="R638">
        <f>IF(BikeData[[#This Row],[yr]]=0,2011,2012)</f>
        <v>2012</v>
      </c>
      <c r="S638" t="str">
        <f>CHOOSE(BikeData[[#This Row],[season]],"Winter","Spring","Summer","Fall")</f>
        <v>Fall</v>
      </c>
      <c r="T638" t="str">
        <f>TEXT(DATE(2000,BikeData[[#This Row],[mnth]],1),"mmmm")</f>
        <v>September</v>
      </c>
      <c r="U638" t="str">
        <f>IF(BikeData[[#This Row],[workingday]]=1,"Working Day","Non-working Day")</f>
        <v>Working Day</v>
      </c>
      <c r="V638" t="str">
        <f>CHOOSE(BikeData[[#This Row],[weekday]]+1,"Sunday","Monday","Tuesday","Wednesday","Thursday","Friday","Saturday")</f>
        <v>Friday</v>
      </c>
      <c r="W638" t="str">
        <f>CHOOSE(BikeData[[#This Row],[weathersit]],"Clear / Few Clouds","Mist / Cloudy","Light Rain / Snow","Heavy Rain / Snow")</f>
        <v>Mist / Cloudy</v>
      </c>
    </row>
    <row r="639" spans="1:23" x14ac:dyDescent="0.3">
      <c r="A639">
        <v>638</v>
      </c>
      <c r="B639" s="1">
        <v>41181</v>
      </c>
      <c r="C639">
        <v>4</v>
      </c>
      <c r="D639">
        <v>1</v>
      </c>
      <c r="E639">
        <v>9</v>
      </c>
      <c r="F639">
        <v>0</v>
      </c>
      <c r="G639">
        <v>6</v>
      </c>
      <c r="H639">
        <v>0</v>
      </c>
      <c r="I639">
        <v>1</v>
      </c>
      <c r="J639">
        <v>0.54249999999999998</v>
      </c>
      <c r="K639">
        <v>0.53029599999999999</v>
      </c>
      <c r="L639">
        <v>0.54291699999999998</v>
      </c>
      <c r="M639">
        <v>0.227604</v>
      </c>
      <c r="N639">
        <v>2589</v>
      </c>
      <c r="O639">
        <v>5966</v>
      </c>
      <c r="P639">
        <v>8555</v>
      </c>
      <c r="Q639" t="str">
        <f>IF(BikeData[[#This Row],[casual]]+BikeData[[#This Row],[registered]]=BikeData[[#This Row],[cnt]],"OK","Check")</f>
        <v>OK</v>
      </c>
      <c r="R639">
        <f>IF(BikeData[[#This Row],[yr]]=0,2011,2012)</f>
        <v>2012</v>
      </c>
      <c r="S639" t="str">
        <f>CHOOSE(BikeData[[#This Row],[season]],"Winter","Spring","Summer","Fall")</f>
        <v>Fall</v>
      </c>
      <c r="T639" t="str">
        <f>TEXT(DATE(2000,BikeData[[#This Row],[mnth]],1),"mmmm")</f>
        <v>September</v>
      </c>
      <c r="U639" t="str">
        <f>IF(BikeData[[#This Row],[workingday]]=1,"Working Day","Non-working Day")</f>
        <v>Non-working Day</v>
      </c>
      <c r="V639" t="str">
        <f>CHOOSE(BikeData[[#This Row],[weekday]]+1,"Sunday","Monday","Tuesday","Wednesday","Thursday","Friday","Saturday")</f>
        <v>Saturday</v>
      </c>
      <c r="W639" t="str">
        <f>CHOOSE(BikeData[[#This Row],[weathersit]],"Clear / Few Clouds","Mist / Cloudy","Light Rain / Snow","Heavy Rain / Snow")</f>
        <v>Clear / Few Clouds</v>
      </c>
    </row>
    <row r="640" spans="1:23" x14ac:dyDescent="0.3">
      <c r="A640">
        <v>639</v>
      </c>
      <c r="B640" s="1">
        <v>41182</v>
      </c>
      <c r="C640">
        <v>4</v>
      </c>
      <c r="D640">
        <v>1</v>
      </c>
      <c r="E640">
        <v>9</v>
      </c>
      <c r="F640">
        <v>0</v>
      </c>
      <c r="G640">
        <v>0</v>
      </c>
      <c r="H640">
        <v>0</v>
      </c>
      <c r="I640">
        <v>1</v>
      </c>
      <c r="J640">
        <v>0.526667</v>
      </c>
      <c r="K640">
        <v>0.51766299999999998</v>
      </c>
      <c r="L640">
        <v>0.58333299999999999</v>
      </c>
      <c r="M640">
        <v>0.13495799999999999</v>
      </c>
      <c r="N640">
        <v>2015</v>
      </c>
      <c r="O640">
        <v>4874</v>
      </c>
      <c r="P640">
        <v>6889</v>
      </c>
      <c r="Q640" t="str">
        <f>IF(BikeData[[#This Row],[casual]]+BikeData[[#This Row],[registered]]=BikeData[[#This Row],[cnt]],"OK","Check")</f>
        <v>OK</v>
      </c>
      <c r="R640">
        <f>IF(BikeData[[#This Row],[yr]]=0,2011,2012)</f>
        <v>2012</v>
      </c>
      <c r="S640" t="str">
        <f>CHOOSE(BikeData[[#This Row],[season]],"Winter","Spring","Summer","Fall")</f>
        <v>Fall</v>
      </c>
      <c r="T640" t="str">
        <f>TEXT(DATE(2000,BikeData[[#This Row],[mnth]],1),"mmmm")</f>
        <v>September</v>
      </c>
      <c r="U640" t="str">
        <f>IF(BikeData[[#This Row],[workingday]]=1,"Working Day","Non-working Day")</f>
        <v>Non-working Day</v>
      </c>
      <c r="V640" t="str">
        <f>CHOOSE(BikeData[[#This Row],[weekday]]+1,"Sunday","Monday","Tuesday","Wednesday","Thursday","Friday","Saturday")</f>
        <v>Sunday</v>
      </c>
      <c r="W640" t="str">
        <f>CHOOSE(BikeData[[#This Row],[weathersit]],"Clear / Few Clouds","Mist / Cloudy","Light Rain / Snow","Heavy Rain / Snow")</f>
        <v>Clear / Few Clouds</v>
      </c>
    </row>
    <row r="641" spans="1:23" x14ac:dyDescent="0.3">
      <c r="A641">
        <v>640</v>
      </c>
      <c r="B641" s="1">
        <v>41183</v>
      </c>
      <c r="C641">
        <v>4</v>
      </c>
      <c r="D641">
        <v>1</v>
      </c>
      <c r="E641">
        <v>10</v>
      </c>
      <c r="F641">
        <v>0</v>
      </c>
      <c r="G641">
        <v>1</v>
      </c>
      <c r="H641">
        <v>1</v>
      </c>
      <c r="I641">
        <v>2</v>
      </c>
      <c r="J641">
        <v>0.52083299999999999</v>
      </c>
      <c r="K641">
        <v>0.51200000000000001</v>
      </c>
      <c r="L641">
        <v>0.64916700000000005</v>
      </c>
      <c r="M641">
        <v>9.0804200000000002E-2</v>
      </c>
      <c r="N641">
        <v>763</v>
      </c>
      <c r="O641">
        <v>6015</v>
      </c>
      <c r="P641">
        <v>6778</v>
      </c>
      <c r="Q641" t="str">
        <f>IF(BikeData[[#This Row],[casual]]+BikeData[[#This Row],[registered]]=BikeData[[#This Row],[cnt]],"OK","Check")</f>
        <v>OK</v>
      </c>
      <c r="R641">
        <f>IF(BikeData[[#This Row],[yr]]=0,2011,2012)</f>
        <v>2012</v>
      </c>
      <c r="S641" t="str">
        <f>CHOOSE(BikeData[[#This Row],[season]],"Winter","Spring","Summer","Fall")</f>
        <v>Fall</v>
      </c>
      <c r="T641" t="str">
        <f>TEXT(DATE(2000,BikeData[[#This Row],[mnth]],1),"mmmm")</f>
        <v>October</v>
      </c>
      <c r="U641" t="str">
        <f>IF(BikeData[[#This Row],[workingday]]=1,"Working Day","Non-working Day")</f>
        <v>Working Day</v>
      </c>
      <c r="V641" t="str">
        <f>CHOOSE(BikeData[[#This Row],[weekday]]+1,"Sunday","Monday","Tuesday","Wednesday","Thursday","Friday","Saturday")</f>
        <v>Monday</v>
      </c>
      <c r="W641" t="str">
        <f>CHOOSE(BikeData[[#This Row],[weathersit]],"Clear / Few Clouds","Mist / Cloudy","Light Rain / Snow","Heavy Rain / Snow")</f>
        <v>Mist / Cloudy</v>
      </c>
    </row>
    <row r="642" spans="1:23" x14ac:dyDescent="0.3">
      <c r="A642">
        <v>641</v>
      </c>
      <c r="B642" s="1">
        <v>41184</v>
      </c>
      <c r="C642">
        <v>4</v>
      </c>
      <c r="D642">
        <v>1</v>
      </c>
      <c r="E642">
        <v>10</v>
      </c>
      <c r="F642">
        <v>0</v>
      </c>
      <c r="G642">
        <v>2</v>
      </c>
      <c r="H642">
        <v>1</v>
      </c>
      <c r="I642">
        <v>3</v>
      </c>
      <c r="J642">
        <v>0.59083300000000005</v>
      </c>
      <c r="K642">
        <v>0.54233299999999995</v>
      </c>
      <c r="L642">
        <v>0.87166699999999997</v>
      </c>
      <c r="M642">
        <v>0.104475</v>
      </c>
      <c r="N642">
        <v>315</v>
      </c>
      <c r="O642">
        <v>4324</v>
      </c>
      <c r="P642">
        <v>4639</v>
      </c>
      <c r="Q642" t="str">
        <f>IF(BikeData[[#This Row],[casual]]+BikeData[[#This Row],[registered]]=BikeData[[#This Row],[cnt]],"OK","Check")</f>
        <v>OK</v>
      </c>
      <c r="R642">
        <f>IF(BikeData[[#This Row],[yr]]=0,2011,2012)</f>
        <v>2012</v>
      </c>
      <c r="S642" t="str">
        <f>CHOOSE(BikeData[[#This Row],[season]],"Winter","Spring","Summer","Fall")</f>
        <v>Fall</v>
      </c>
      <c r="T642" t="str">
        <f>TEXT(DATE(2000,BikeData[[#This Row],[mnth]],1),"mmmm")</f>
        <v>October</v>
      </c>
      <c r="U642" t="str">
        <f>IF(BikeData[[#This Row],[workingday]]=1,"Working Day","Non-working Day")</f>
        <v>Working Day</v>
      </c>
      <c r="V642" t="str">
        <f>CHOOSE(BikeData[[#This Row],[weekday]]+1,"Sunday","Monday","Tuesday","Wednesday","Thursday","Friday","Saturday")</f>
        <v>Tuesday</v>
      </c>
      <c r="W642" t="str">
        <f>CHOOSE(BikeData[[#This Row],[weathersit]],"Clear / Few Clouds","Mist / Cloudy","Light Rain / Snow","Heavy Rain / Snow")</f>
        <v>Light Rain / Snow</v>
      </c>
    </row>
    <row r="643" spans="1:23" x14ac:dyDescent="0.3">
      <c r="A643">
        <v>642</v>
      </c>
      <c r="B643" s="1">
        <v>41185</v>
      </c>
      <c r="C643">
        <v>4</v>
      </c>
      <c r="D643">
        <v>1</v>
      </c>
      <c r="E643">
        <v>10</v>
      </c>
      <c r="F643">
        <v>0</v>
      </c>
      <c r="G643">
        <v>3</v>
      </c>
      <c r="H643">
        <v>1</v>
      </c>
      <c r="I643">
        <v>2</v>
      </c>
      <c r="J643">
        <v>0.65749999999999997</v>
      </c>
      <c r="K643">
        <v>0.59913300000000003</v>
      </c>
      <c r="L643">
        <v>0.79374999999999996</v>
      </c>
      <c r="M643">
        <v>6.6545800000000002E-2</v>
      </c>
      <c r="N643">
        <v>728</v>
      </c>
      <c r="O643">
        <v>6844</v>
      </c>
      <c r="P643">
        <v>7572</v>
      </c>
      <c r="Q643" t="str">
        <f>IF(BikeData[[#This Row],[casual]]+BikeData[[#This Row],[registered]]=BikeData[[#This Row],[cnt]],"OK","Check")</f>
        <v>OK</v>
      </c>
      <c r="R643">
        <f>IF(BikeData[[#This Row],[yr]]=0,2011,2012)</f>
        <v>2012</v>
      </c>
      <c r="S643" t="str">
        <f>CHOOSE(BikeData[[#This Row],[season]],"Winter","Spring","Summer","Fall")</f>
        <v>Fall</v>
      </c>
      <c r="T643" t="str">
        <f>TEXT(DATE(2000,BikeData[[#This Row],[mnth]],1),"mmmm")</f>
        <v>October</v>
      </c>
      <c r="U643" t="str">
        <f>IF(BikeData[[#This Row],[workingday]]=1,"Working Day","Non-working Day")</f>
        <v>Working Day</v>
      </c>
      <c r="V643" t="str">
        <f>CHOOSE(BikeData[[#This Row],[weekday]]+1,"Sunday","Monday","Tuesday","Wednesday","Thursday","Friday","Saturday")</f>
        <v>Wednesday</v>
      </c>
      <c r="W643" t="str">
        <f>CHOOSE(BikeData[[#This Row],[weathersit]],"Clear / Few Clouds","Mist / Cloudy","Light Rain / Snow","Heavy Rain / Snow")</f>
        <v>Mist / Cloudy</v>
      </c>
    </row>
    <row r="644" spans="1:23" x14ac:dyDescent="0.3">
      <c r="A644">
        <v>643</v>
      </c>
      <c r="B644" s="1">
        <v>41186</v>
      </c>
      <c r="C644">
        <v>4</v>
      </c>
      <c r="D644">
        <v>1</v>
      </c>
      <c r="E644">
        <v>10</v>
      </c>
      <c r="F644">
        <v>0</v>
      </c>
      <c r="G644">
        <v>4</v>
      </c>
      <c r="H644">
        <v>1</v>
      </c>
      <c r="I644">
        <v>2</v>
      </c>
      <c r="J644">
        <v>0.65749999999999997</v>
      </c>
      <c r="K644">
        <v>0.60797500000000004</v>
      </c>
      <c r="L644">
        <v>0.72291700000000003</v>
      </c>
      <c r="M644">
        <v>0.117546</v>
      </c>
      <c r="N644">
        <v>891</v>
      </c>
      <c r="O644">
        <v>6437</v>
      </c>
      <c r="P644">
        <v>7328</v>
      </c>
      <c r="Q644" t="str">
        <f>IF(BikeData[[#This Row],[casual]]+BikeData[[#This Row],[registered]]=BikeData[[#This Row],[cnt]],"OK","Check")</f>
        <v>OK</v>
      </c>
      <c r="R644">
        <f>IF(BikeData[[#This Row],[yr]]=0,2011,2012)</f>
        <v>2012</v>
      </c>
      <c r="S644" t="str">
        <f>CHOOSE(BikeData[[#This Row],[season]],"Winter","Spring","Summer","Fall")</f>
        <v>Fall</v>
      </c>
      <c r="T644" t="str">
        <f>TEXT(DATE(2000,BikeData[[#This Row],[mnth]],1),"mmmm")</f>
        <v>October</v>
      </c>
      <c r="U644" t="str">
        <f>IF(BikeData[[#This Row],[workingday]]=1,"Working Day","Non-working Day")</f>
        <v>Working Day</v>
      </c>
      <c r="V644" t="str">
        <f>CHOOSE(BikeData[[#This Row],[weekday]]+1,"Sunday","Monday","Tuesday","Wednesday","Thursday","Friday","Saturday")</f>
        <v>Thursday</v>
      </c>
      <c r="W644" t="str">
        <f>CHOOSE(BikeData[[#This Row],[weathersit]],"Clear / Few Clouds","Mist / Cloudy","Light Rain / Snow","Heavy Rain / Snow")</f>
        <v>Mist / Cloudy</v>
      </c>
    </row>
    <row r="645" spans="1:23" x14ac:dyDescent="0.3">
      <c r="A645">
        <v>644</v>
      </c>
      <c r="B645" s="1">
        <v>41187</v>
      </c>
      <c r="C645">
        <v>4</v>
      </c>
      <c r="D645">
        <v>1</v>
      </c>
      <c r="E645">
        <v>10</v>
      </c>
      <c r="F645">
        <v>0</v>
      </c>
      <c r="G645">
        <v>5</v>
      </c>
      <c r="H645">
        <v>1</v>
      </c>
      <c r="I645">
        <v>1</v>
      </c>
      <c r="J645">
        <v>0.61499999999999999</v>
      </c>
      <c r="K645">
        <v>0.58018700000000001</v>
      </c>
      <c r="L645">
        <v>0.62749999999999995</v>
      </c>
      <c r="M645">
        <v>0.10635</v>
      </c>
      <c r="N645">
        <v>1516</v>
      </c>
      <c r="O645">
        <v>6640</v>
      </c>
      <c r="P645">
        <v>8156</v>
      </c>
      <c r="Q645" t="str">
        <f>IF(BikeData[[#This Row],[casual]]+BikeData[[#This Row],[registered]]=BikeData[[#This Row],[cnt]],"OK","Check")</f>
        <v>OK</v>
      </c>
      <c r="R645">
        <f>IF(BikeData[[#This Row],[yr]]=0,2011,2012)</f>
        <v>2012</v>
      </c>
      <c r="S645" t="str">
        <f>CHOOSE(BikeData[[#This Row],[season]],"Winter","Spring","Summer","Fall")</f>
        <v>Fall</v>
      </c>
      <c r="T645" t="str">
        <f>TEXT(DATE(2000,BikeData[[#This Row],[mnth]],1),"mmmm")</f>
        <v>October</v>
      </c>
      <c r="U645" t="str">
        <f>IF(BikeData[[#This Row],[workingday]]=1,"Working Day","Non-working Day")</f>
        <v>Working Day</v>
      </c>
      <c r="V645" t="str">
        <f>CHOOSE(BikeData[[#This Row],[weekday]]+1,"Sunday","Monday","Tuesday","Wednesday","Thursday","Friday","Saturday")</f>
        <v>Friday</v>
      </c>
      <c r="W645" t="str">
        <f>CHOOSE(BikeData[[#This Row],[weathersit]],"Clear / Few Clouds","Mist / Cloudy","Light Rain / Snow","Heavy Rain / Snow")</f>
        <v>Clear / Few Clouds</v>
      </c>
    </row>
    <row r="646" spans="1:23" x14ac:dyDescent="0.3">
      <c r="A646">
        <v>645</v>
      </c>
      <c r="B646" s="1">
        <v>41188</v>
      </c>
      <c r="C646">
        <v>4</v>
      </c>
      <c r="D646">
        <v>1</v>
      </c>
      <c r="E646">
        <v>10</v>
      </c>
      <c r="F646">
        <v>0</v>
      </c>
      <c r="G646">
        <v>6</v>
      </c>
      <c r="H646">
        <v>0</v>
      </c>
      <c r="I646">
        <v>1</v>
      </c>
      <c r="J646">
        <v>0.55416699999999997</v>
      </c>
      <c r="K646">
        <v>0.53852100000000003</v>
      </c>
      <c r="L646">
        <v>0.66416699999999995</v>
      </c>
      <c r="M646">
        <v>0.26802500000000001</v>
      </c>
      <c r="N646">
        <v>3031</v>
      </c>
      <c r="O646">
        <v>4934</v>
      </c>
      <c r="P646">
        <v>7965</v>
      </c>
      <c r="Q646" t="str">
        <f>IF(BikeData[[#This Row],[casual]]+BikeData[[#This Row],[registered]]=BikeData[[#This Row],[cnt]],"OK","Check")</f>
        <v>OK</v>
      </c>
      <c r="R646">
        <f>IF(BikeData[[#This Row],[yr]]=0,2011,2012)</f>
        <v>2012</v>
      </c>
      <c r="S646" t="str">
        <f>CHOOSE(BikeData[[#This Row],[season]],"Winter","Spring","Summer","Fall")</f>
        <v>Fall</v>
      </c>
      <c r="T646" t="str">
        <f>TEXT(DATE(2000,BikeData[[#This Row],[mnth]],1),"mmmm")</f>
        <v>October</v>
      </c>
      <c r="U646" t="str">
        <f>IF(BikeData[[#This Row],[workingday]]=1,"Working Day","Non-working Day")</f>
        <v>Non-working Day</v>
      </c>
      <c r="V646" t="str">
        <f>CHOOSE(BikeData[[#This Row],[weekday]]+1,"Sunday","Monday","Tuesday","Wednesday","Thursday","Friday","Saturday")</f>
        <v>Saturday</v>
      </c>
      <c r="W646" t="str">
        <f>CHOOSE(BikeData[[#This Row],[weathersit]],"Clear / Few Clouds","Mist / Cloudy","Light Rain / Snow","Heavy Rain / Snow")</f>
        <v>Clear / Few Clouds</v>
      </c>
    </row>
    <row r="647" spans="1:23" x14ac:dyDescent="0.3">
      <c r="A647">
        <v>646</v>
      </c>
      <c r="B647" s="1">
        <v>41189</v>
      </c>
      <c r="C647">
        <v>4</v>
      </c>
      <c r="D647">
        <v>1</v>
      </c>
      <c r="E647">
        <v>10</v>
      </c>
      <c r="F647">
        <v>0</v>
      </c>
      <c r="G647">
        <v>0</v>
      </c>
      <c r="H647">
        <v>0</v>
      </c>
      <c r="I647">
        <v>2</v>
      </c>
      <c r="J647">
        <v>0.41583300000000001</v>
      </c>
      <c r="K647">
        <v>0.41981299999999999</v>
      </c>
      <c r="L647">
        <v>0.70833299999999999</v>
      </c>
      <c r="M647">
        <v>0.14116200000000001</v>
      </c>
      <c r="N647">
        <v>781</v>
      </c>
      <c r="O647">
        <v>2729</v>
      </c>
      <c r="P647">
        <v>3510</v>
      </c>
      <c r="Q647" t="str">
        <f>IF(BikeData[[#This Row],[casual]]+BikeData[[#This Row],[registered]]=BikeData[[#This Row],[cnt]],"OK","Check")</f>
        <v>OK</v>
      </c>
      <c r="R647">
        <f>IF(BikeData[[#This Row],[yr]]=0,2011,2012)</f>
        <v>2012</v>
      </c>
      <c r="S647" t="str">
        <f>CHOOSE(BikeData[[#This Row],[season]],"Winter","Spring","Summer","Fall")</f>
        <v>Fall</v>
      </c>
      <c r="T647" t="str">
        <f>TEXT(DATE(2000,BikeData[[#This Row],[mnth]],1),"mmmm")</f>
        <v>October</v>
      </c>
      <c r="U647" t="str">
        <f>IF(BikeData[[#This Row],[workingday]]=1,"Working Day","Non-working Day")</f>
        <v>Non-working Day</v>
      </c>
      <c r="V647" t="str">
        <f>CHOOSE(BikeData[[#This Row],[weekday]]+1,"Sunday","Monday","Tuesday","Wednesday","Thursday","Friday","Saturday")</f>
        <v>Sunday</v>
      </c>
      <c r="W647" t="str">
        <f>CHOOSE(BikeData[[#This Row],[weathersit]],"Clear / Few Clouds","Mist / Cloudy","Light Rain / Snow","Heavy Rain / Snow")</f>
        <v>Mist / Cloudy</v>
      </c>
    </row>
    <row r="648" spans="1:23" x14ac:dyDescent="0.3">
      <c r="A648">
        <v>647</v>
      </c>
      <c r="B648" s="1">
        <v>41190</v>
      </c>
      <c r="C648">
        <v>4</v>
      </c>
      <c r="D648">
        <v>1</v>
      </c>
      <c r="E648">
        <v>10</v>
      </c>
      <c r="F648">
        <v>1</v>
      </c>
      <c r="G648">
        <v>1</v>
      </c>
      <c r="H648">
        <v>0</v>
      </c>
      <c r="I648">
        <v>2</v>
      </c>
      <c r="J648">
        <v>0.38333299999999998</v>
      </c>
      <c r="K648">
        <v>0.38760800000000001</v>
      </c>
      <c r="L648">
        <v>0.70958299999999996</v>
      </c>
      <c r="M648">
        <v>0.18967899999999999</v>
      </c>
      <c r="N648">
        <v>874</v>
      </c>
      <c r="O648">
        <v>4604</v>
      </c>
      <c r="P648">
        <v>5478</v>
      </c>
      <c r="Q648" t="str">
        <f>IF(BikeData[[#This Row],[casual]]+BikeData[[#This Row],[registered]]=BikeData[[#This Row],[cnt]],"OK","Check")</f>
        <v>OK</v>
      </c>
      <c r="R648">
        <f>IF(BikeData[[#This Row],[yr]]=0,2011,2012)</f>
        <v>2012</v>
      </c>
      <c r="S648" t="str">
        <f>CHOOSE(BikeData[[#This Row],[season]],"Winter","Spring","Summer","Fall")</f>
        <v>Fall</v>
      </c>
      <c r="T648" t="str">
        <f>TEXT(DATE(2000,BikeData[[#This Row],[mnth]],1),"mmmm")</f>
        <v>October</v>
      </c>
      <c r="U648" t="str">
        <f>IF(BikeData[[#This Row],[workingday]]=1,"Working Day","Non-working Day")</f>
        <v>Non-working Day</v>
      </c>
      <c r="V648" t="str">
        <f>CHOOSE(BikeData[[#This Row],[weekday]]+1,"Sunday","Monday","Tuesday","Wednesday","Thursday","Friday","Saturday")</f>
        <v>Monday</v>
      </c>
      <c r="W648" t="str">
        <f>CHOOSE(BikeData[[#This Row],[weathersit]],"Clear / Few Clouds","Mist / Cloudy","Light Rain / Snow","Heavy Rain / Snow")</f>
        <v>Mist / Cloudy</v>
      </c>
    </row>
    <row r="649" spans="1:23" x14ac:dyDescent="0.3">
      <c r="A649">
        <v>648</v>
      </c>
      <c r="B649" s="1">
        <v>41191</v>
      </c>
      <c r="C649">
        <v>4</v>
      </c>
      <c r="D649">
        <v>1</v>
      </c>
      <c r="E649">
        <v>10</v>
      </c>
      <c r="F649">
        <v>0</v>
      </c>
      <c r="G649">
        <v>2</v>
      </c>
      <c r="H649">
        <v>1</v>
      </c>
      <c r="I649">
        <v>2</v>
      </c>
      <c r="J649">
        <v>0.44666699999999998</v>
      </c>
      <c r="K649">
        <v>0.438112</v>
      </c>
      <c r="L649">
        <v>0.76166699999999998</v>
      </c>
      <c r="M649">
        <v>0.1903</v>
      </c>
      <c r="N649">
        <v>601</v>
      </c>
      <c r="O649">
        <v>5791</v>
      </c>
      <c r="P649">
        <v>6392</v>
      </c>
      <c r="Q649" t="str">
        <f>IF(BikeData[[#This Row],[casual]]+BikeData[[#This Row],[registered]]=BikeData[[#This Row],[cnt]],"OK","Check")</f>
        <v>OK</v>
      </c>
      <c r="R649">
        <f>IF(BikeData[[#This Row],[yr]]=0,2011,2012)</f>
        <v>2012</v>
      </c>
      <c r="S649" t="str">
        <f>CHOOSE(BikeData[[#This Row],[season]],"Winter","Spring","Summer","Fall")</f>
        <v>Fall</v>
      </c>
      <c r="T649" t="str">
        <f>TEXT(DATE(2000,BikeData[[#This Row],[mnth]],1),"mmmm")</f>
        <v>October</v>
      </c>
      <c r="U649" t="str">
        <f>IF(BikeData[[#This Row],[workingday]]=1,"Working Day","Non-working Day")</f>
        <v>Working Day</v>
      </c>
      <c r="V649" t="str">
        <f>CHOOSE(BikeData[[#This Row],[weekday]]+1,"Sunday","Monday","Tuesday","Wednesday","Thursday","Friday","Saturday")</f>
        <v>Tuesday</v>
      </c>
      <c r="W649" t="str">
        <f>CHOOSE(BikeData[[#This Row],[weathersit]],"Clear / Few Clouds","Mist / Cloudy","Light Rain / Snow","Heavy Rain / Snow")</f>
        <v>Mist / Cloudy</v>
      </c>
    </row>
    <row r="650" spans="1:23" x14ac:dyDescent="0.3">
      <c r="A650">
        <v>649</v>
      </c>
      <c r="B650" s="1">
        <v>41192</v>
      </c>
      <c r="C650">
        <v>4</v>
      </c>
      <c r="D650">
        <v>1</v>
      </c>
      <c r="E650">
        <v>10</v>
      </c>
      <c r="F650">
        <v>0</v>
      </c>
      <c r="G650">
        <v>3</v>
      </c>
      <c r="H650">
        <v>1</v>
      </c>
      <c r="I650">
        <v>1</v>
      </c>
      <c r="J650">
        <v>0.51416700000000004</v>
      </c>
      <c r="K650">
        <v>0.50314199999999998</v>
      </c>
      <c r="L650">
        <v>0.63083299999999998</v>
      </c>
      <c r="M650">
        <v>0.18782099999999999</v>
      </c>
      <c r="N650">
        <v>780</v>
      </c>
      <c r="O650">
        <v>6911</v>
      </c>
      <c r="P650">
        <v>7691</v>
      </c>
      <c r="Q650" t="str">
        <f>IF(BikeData[[#This Row],[casual]]+BikeData[[#This Row],[registered]]=BikeData[[#This Row],[cnt]],"OK","Check")</f>
        <v>OK</v>
      </c>
      <c r="R650">
        <f>IF(BikeData[[#This Row],[yr]]=0,2011,2012)</f>
        <v>2012</v>
      </c>
      <c r="S650" t="str">
        <f>CHOOSE(BikeData[[#This Row],[season]],"Winter","Spring","Summer","Fall")</f>
        <v>Fall</v>
      </c>
      <c r="T650" t="str">
        <f>TEXT(DATE(2000,BikeData[[#This Row],[mnth]],1),"mmmm")</f>
        <v>October</v>
      </c>
      <c r="U650" t="str">
        <f>IF(BikeData[[#This Row],[workingday]]=1,"Working Day","Non-working Day")</f>
        <v>Working Day</v>
      </c>
      <c r="V650" t="str">
        <f>CHOOSE(BikeData[[#This Row],[weekday]]+1,"Sunday","Monday","Tuesday","Wednesday","Thursday","Friday","Saturday")</f>
        <v>Wednesday</v>
      </c>
      <c r="W650" t="str">
        <f>CHOOSE(BikeData[[#This Row],[weathersit]],"Clear / Few Clouds","Mist / Cloudy","Light Rain / Snow","Heavy Rain / Snow")</f>
        <v>Clear / Few Clouds</v>
      </c>
    </row>
    <row r="651" spans="1:23" x14ac:dyDescent="0.3">
      <c r="A651">
        <v>650</v>
      </c>
      <c r="B651" s="1">
        <v>41193</v>
      </c>
      <c r="C651">
        <v>4</v>
      </c>
      <c r="D651">
        <v>1</v>
      </c>
      <c r="E651">
        <v>10</v>
      </c>
      <c r="F651">
        <v>0</v>
      </c>
      <c r="G651">
        <v>4</v>
      </c>
      <c r="H651">
        <v>1</v>
      </c>
      <c r="I651">
        <v>1</v>
      </c>
      <c r="J651">
        <v>0.435</v>
      </c>
      <c r="K651">
        <v>0.43116700000000002</v>
      </c>
      <c r="L651">
        <v>0.46333299999999999</v>
      </c>
      <c r="M651">
        <v>0.18159600000000001</v>
      </c>
      <c r="N651">
        <v>834</v>
      </c>
      <c r="O651">
        <v>6736</v>
      </c>
      <c r="P651">
        <v>7570</v>
      </c>
      <c r="Q651" t="str">
        <f>IF(BikeData[[#This Row],[casual]]+BikeData[[#This Row],[registered]]=BikeData[[#This Row],[cnt]],"OK","Check")</f>
        <v>OK</v>
      </c>
      <c r="R651">
        <f>IF(BikeData[[#This Row],[yr]]=0,2011,2012)</f>
        <v>2012</v>
      </c>
      <c r="S651" t="str">
        <f>CHOOSE(BikeData[[#This Row],[season]],"Winter","Spring","Summer","Fall")</f>
        <v>Fall</v>
      </c>
      <c r="T651" t="str">
        <f>TEXT(DATE(2000,BikeData[[#This Row],[mnth]],1),"mmmm")</f>
        <v>October</v>
      </c>
      <c r="U651" t="str">
        <f>IF(BikeData[[#This Row],[workingday]]=1,"Working Day","Non-working Day")</f>
        <v>Working Day</v>
      </c>
      <c r="V651" t="str">
        <f>CHOOSE(BikeData[[#This Row],[weekday]]+1,"Sunday","Monday","Tuesday","Wednesday","Thursday","Friday","Saturday")</f>
        <v>Thursday</v>
      </c>
      <c r="W651" t="str">
        <f>CHOOSE(BikeData[[#This Row],[weathersit]],"Clear / Few Clouds","Mist / Cloudy","Light Rain / Snow","Heavy Rain / Snow")</f>
        <v>Clear / Few Clouds</v>
      </c>
    </row>
    <row r="652" spans="1:23" x14ac:dyDescent="0.3">
      <c r="A652">
        <v>651</v>
      </c>
      <c r="B652" s="1">
        <v>41194</v>
      </c>
      <c r="C652">
        <v>4</v>
      </c>
      <c r="D652">
        <v>1</v>
      </c>
      <c r="E652">
        <v>10</v>
      </c>
      <c r="F652">
        <v>0</v>
      </c>
      <c r="G652">
        <v>5</v>
      </c>
      <c r="H652">
        <v>1</v>
      </c>
      <c r="I652">
        <v>1</v>
      </c>
      <c r="J652">
        <v>0.4375</v>
      </c>
      <c r="K652">
        <v>0.43307099999999998</v>
      </c>
      <c r="L652">
        <v>0.53916699999999995</v>
      </c>
      <c r="M652">
        <v>0.235092</v>
      </c>
      <c r="N652">
        <v>1060</v>
      </c>
      <c r="O652">
        <v>6222</v>
      </c>
      <c r="P652">
        <v>7282</v>
      </c>
      <c r="Q652" t="str">
        <f>IF(BikeData[[#This Row],[casual]]+BikeData[[#This Row],[registered]]=BikeData[[#This Row],[cnt]],"OK","Check")</f>
        <v>OK</v>
      </c>
      <c r="R652">
        <f>IF(BikeData[[#This Row],[yr]]=0,2011,2012)</f>
        <v>2012</v>
      </c>
      <c r="S652" t="str">
        <f>CHOOSE(BikeData[[#This Row],[season]],"Winter","Spring","Summer","Fall")</f>
        <v>Fall</v>
      </c>
      <c r="T652" t="str">
        <f>TEXT(DATE(2000,BikeData[[#This Row],[mnth]],1),"mmmm")</f>
        <v>October</v>
      </c>
      <c r="U652" t="str">
        <f>IF(BikeData[[#This Row],[workingday]]=1,"Working Day","Non-working Day")</f>
        <v>Working Day</v>
      </c>
      <c r="V652" t="str">
        <f>CHOOSE(BikeData[[#This Row],[weekday]]+1,"Sunday","Monday","Tuesday","Wednesday","Thursday","Friday","Saturday")</f>
        <v>Friday</v>
      </c>
      <c r="W652" t="str">
        <f>CHOOSE(BikeData[[#This Row],[weathersit]],"Clear / Few Clouds","Mist / Cloudy","Light Rain / Snow","Heavy Rain / Snow")</f>
        <v>Clear / Few Clouds</v>
      </c>
    </row>
    <row r="653" spans="1:23" x14ac:dyDescent="0.3">
      <c r="A653">
        <v>652</v>
      </c>
      <c r="B653" s="1">
        <v>41195</v>
      </c>
      <c r="C653">
        <v>4</v>
      </c>
      <c r="D653">
        <v>1</v>
      </c>
      <c r="E653">
        <v>10</v>
      </c>
      <c r="F653">
        <v>0</v>
      </c>
      <c r="G653">
        <v>6</v>
      </c>
      <c r="H653">
        <v>0</v>
      </c>
      <c r="I653">
        <v>1</v>
      </c>
      <c r="J653">
        <v>0.39333299999999999</v>
      </c>
      <c r="K653">
        <v>0.39139600000000002</v>
      </c>
      <c r="L653">
        <v>0.49458299999999999</v>
      </c>
      <c r="M653">
        <v>0.14614199999999999</v>
      </c>
      <c r="N653">
        <v>2252</v>
      </c>
      <c r="O653">
        <v>4857</v>
      </c>
      <c r="P653">
        <v>7109</v>
      </c>
      <c r="Q653" t="str">
        <f>IF(BikeData[[#This Row],[casual]]+BikeData[[#This Row],[registered]]=BikeData[[#This Row],[cnt]],"OK","Check")</f>
        <v>OK</v>
      </c>
      <c r="R653">
        <f>IF(BikeData[[#This Row],[yr]]=0,2011,2012)</f>
        <v>2012</v>
      </c>
      <c r="S653" t="str">
        <f>CHOOSE(BikeData[[#This Row],[season]],"Winter","Spring","Summer","Fall")</f>
        <v>Fall</v>
      </c>
      <c r="T653" t="str">
        <f>TEXT(DATE(2000,BikeData[[#This Row],[mnth]],1),"mmmm")</f>
        <v>October</v>
      </c>
      <c r="U653" t="str">
        <f>IF(BikeData[[#This Row],[workingday]]=1,"Working Day","Non-working Day")</f>
        <v>Non-working Day</v>
      </c>
      <c r="V653" t="str">
        <f>CHOOSE(BikeData[[#This Row],[weekday]]+1,"Sunday","Monday","Tuesday","Wednesday","Thursday","Friday","Saturday")</f>
        <v>Saturday</v>
      </c>
      <c r="W653" t="str">
        <f>CHOOSE(BikeData[[#This Row],[weathersit]],"Clear / Few Clouds","Mist / Cloudy","Light Rain / Snow","Heavy Rain / Snow")</f>
        <v>Clear / Few Clouds</v>
      </c>
    </row>
    <row r="654" spans="1:23" x14ac:dyDescent="0.3">
      <c r="A654">
        <v>653</v>
      </c>
      <c r="B654" s="1">
        <v>41196</v>
      </c>
      <c r="C654">
        <v>4</v>
      </c>
      <c r="D654">
        <v>1</v>
      </c>
      <c r="E654">
        <v>10</v>
      </c>
      <c r="F654">
        <v>0</v>
      </c>
      <c r="G654">
        <v>0</v>
      </c>
      <c r="H654">
        <v>0</v>
      </c>
      <c r="I654">
        <v>1</v>
      </c>
      <c r="J654">
        <v>0.52166699999999999</v>
      </c>
      <c r="K654">
        <v>0.50820399999999999</v>
      </c>
      <c r="L654">
        <v>0.64041700000000001</v>
      </c>
      <c r="M654">
        <v>0.27861200000000003</v>
      </c>
      <c r="N654">
        <v>2080</v>
      </c>
      <c r="O654">
        <v>4559</v>
      </c>
      <c r="P654">
        <v>6639</v>
      </c>
      <c r="Q654" t="str">
        <f>IF(BikeData[[#This Row],[casual]]+BikeData[[#This Row],[registered]]=BikeData[[#This Row],[cnt]],"OK","Check")</f>
        <v>OK</v>
      </c>
      <c r="R654">
        <f>IF(BikeData[[#This Row],[yr]]=0,2011,2012)</f>
        <v>2012</v>
      </c>
      <c r="S654" t="str">
        <f>CHOOSE(BikeData[[#This Row],[season]],"Winter","Spring","Summer","Fall")</f>
        <v>Fall</v>
      </c>
      <c r="T654" t="str">
        <f>TEXT(DATE(2000,BikeData[[#This Row],[mnth]],1),"mmmm")</f>
        <v>October</v>
      </c>
      <c r="U654" t="str">
        <f>IF(BikeData[[#This Row],[workingday]]=1,"Working Day","Non-working Day")</f>
        <v>Non-working Day</v>
      </c>
      <c r="V654" t="str">
        <f>CHOOSE(BikeData[[#This Row],[weekday]]+1,"Sunday","Monday","Tuesday","Wednesday","Thursday","Friday","Saturday")</f>
        <v>Sunday</v>
      </c>
      <c r="W654" t="str">
        <f>CHOOSE(BikeData[[#This Row],[weathersit]],"Clear / Few Clouds","Mist / Cloudy","Light Rain / Snow","Heavy Rain / Snow")</f>
        <v>Clear / Few Clouds</v>
      </c>
    </row>
    <row r="655" spans="1:23" x14ac:dyDescent="0.3">
      <c r="A655">
        <v>654</v>
      </c>
      <c r="B655" s="1">
        <v>41197</v>
      </c>
      <c r="C655">
        <v>4</v>
      </c>
      <c r="D655">
        <v>1</v>
      </c>
      <c r="E655">
        <v>10</v>
      </c>
      <c r="F655">
        <v>0</v>
      </c>
      <c r="G655">
        <v>1</v>
      </c>
      <c r="H655">
        <v>1</v>
      </c>
      <c r="I655">
        <v>2</v>
      </c>
      <c r="J655">
        <v>0.56166700000000003</v>
      </c>
      <c r="K655">
        <v>0.53915000000000002</v>
      </c>
      <c r="L655">
        <v>0.70750000000000002</v>
      </c>
      <c r="M655">
        <v>0.29603699999999999</v>
      </c>
      <c r="N655">
        <v>760</v>
      </c>
      <c r="O655">
        <v>5115</v>
      </c>
      <c r="P655">
        <v>5875</v>
      </c>
      <c r="Q655" t="str">
        <f>IF(BikeData[[#This Row],[casual]]+BikeData[[#This Row],[registered]]=BikeData[[#This Row],[cnt]],"OK","Check")</f>
        <v>OK</v>
      </c>
      <c r="R655">
        <f>IF(BikeData[[#This Row],[yr]]=0,2011,2012)</f>
        <v>2012</v>
      </c>
      <c r="S655" t="str">
        <f>CHOOSE(BikeData[[#This Row],[season]],"Winter","Spring","Summer","Fall")</f>
        <v>Fall</v>
      </c>
      <c r="T655" t="str">
        <f>TEXT(DATE(2000,BikeData[[#This Row],[mnth]],1),"mmmm")</f>
        <v>October</v>
      </c>
      <c r="U655" t="str">
        <f>IF(BikeData[[#This Row],[workingday]]=1,"Working Day","Non-working Day")</f>
        <v>Working Day</v>
      </c>
      <c r="V655" t="str">
        <f>CHOOSE(BikeData[[#This Row],[weekday]]+1,"Sunday","Monday","Tuesday","Wednesday","Thursday","Friday","Saturday")</f>
        <v>Monday</v>
      </c>
      <c r="W655" t="str">
        <f>CHOOSE(BikeData[[#This Row],[weathersit]],"Clear / Few Clouds","Mist / Cloudy","Light Rain / Snow","Heavy Rain / Snow")</f>
        <v>Mist / Cloudy</v>
      </c>
    </row>
    <row r="656" spans="1:23" x14ac:dyDescent="0.3">
      <c r="A656">
        <v>655</v>
      </c>
      <c r="B656" s="1">
        <v>41198</v>
      </c>
      <c r="C656">
        <v>4</v>
      </c>
      <c r="D656">
        <v>1</v>
      </c>
      <c r="E656">
        <v>10</v>
      </c>
      <c r="F656">
        <v>0</v>
      </c>
      <c r="G656">
        <v>2</v>
      </c>
      <c r="H656">
        <v>1</v>
      </c>
      <c r="I656">
        <v>1</v>
      </c>
      <c r="J656">
        <v>0.468333</v>
      </c>
      <c r="K656">
        <v>0.46084599999999998</v>
      </c>
      <c r="L656">
        <v>0.55833299999999997</v>
      </c>
      <c r="M656">
        <v>0.18222099999999999</v>
      </c>
      <c r="N656">
        <v>922</v>
      </c>
      <c r="O656">
        <v>6612</v>
      </c>
      <c r="P656">
        <v>7534</v>
      </c>
      <c r="Q656" t="str">
        <f>IF(BikeData[[#This Row],[casual]]+BikeData[[#This Row],[registered]]=BikeData[[#This Row],[cnt]],"OK","Check")</f>
        <v>OK</v>
      </c>
      <c r="R656">
        <f>IF(BikeData[[#This Row],[yr]]=0,2011,2012)</f>
        <v>2012</v>
      </c>
      <c r="S656" t="str">
        <f>CHOOSE(BikeData[[#This Row],[season]],"Winter","Spring","Summer","Fall")</f>
        <v>Fall</v>
      </c>
      <c r="T656" t="str">
        <f>TEXT(DATE(2000,BikeData[[#This Row],[mnth]],1),"mmmm")</f>
        <v>October</v>
      </c>
      <c r="U656" t="str">
        <f>IF(BikeData[[#This Row],[workingday]]=1,"Working Day","Non-working Day")</f>
        <v>Working Day</v>
      </c>
      <c r="V656" t="str">
        <f>CHOOSE(BikeData[[#This Row],[weekday]]+1,"Sunday","Monday","Tuesday","Wednesday","Thursday","Friday","Saturday")</f>
        <v>Tuesday</v>
      </c>
      <c r="W656" t="str">
        <f>CHOOSE(BikeData[[#This Row],[weathersit]],"Clear / Few Clouds","Mist / Cloudy","Light Rain / Snow","Heavy Rain / Snow")</f>
        <v>Clear / Few Clouds</v>
      </c>
    </row>
    <row r="657" spans="1:23" x14ac:dyDescent="0.3">
      <c r="A657">
        <v>656</v>
      </c>
      <c r="B657" s="1">
        <v>41199</v>
      </c>
      <c r="C657">
        <v>4</v>
      </c>
      <c r="D657">
        <v>1</v>
      </c>
      <c r="E657">
        <v>10</v>
      </c>
      <c r="F657">
        <v>0</v>
      </c>
      <c r="G657">
        <v>3</v>
      </c>
      <c r="H657">
        <v>1</v>
      </c>
      <c r="I657">
        <v>1</v>
      </c>
      <c r="J657">
        <v>0.45583299999999999</v>
      </c>
      <c r="K657">
        <v>0.45010800000000001</v>
      </c>
      <c r="L657">
        <v>0.69291700000000001</v>
      </c>
      <c r="M657">
        <v>0.101371</v>
      </c>
      <c r="N657">
        <v>979</v>
      </c>
      <c r="O657">
        <v>6482</v>
      </c>
      <c r="P657">
        <v>7461</v>
      </c>
      <c r="Q657" t="str">
        <f>IF(BikeData[[#This Row],[casual]]+BikeData[[#This Row],[registered]]=BikeData[[#This Row],[cnt]],"OK","Check")</f>
        <v>OK</v>
      </c>
      <c r="R657">
        <f>IF(BikeData[[#This Row],[yr]]=0,2011,2012)</f>
        <v>2012</v>
      </c>
      <c r="S657" t="str">
        <f>CHOOSE(BikeData[[#This Row],[season]],"Winter","Spring","Summer","Fall")</f>
        <v>Fall</v>
      </c>
      <c r="T657" t="str">
        <f>TEXT(DATE(2000,BikeData[[#This Row],[mnth]],1),"mmmm")</f>
        <v>October</v>
      </c>
      <c r="U657" t="str">
        <f>IF(BikeData[[#This Row],[workingday]]=1,"Working Day","Non-working Day")</f>
        <v>Working Day</v>
      </c>
      <c r="V657" t="str">
        <f>CHOOSE(BikeData[[#This Row],[weekday]]+1,"Sunday","Monday","Tuesday","Wednesday","Thursday","Friday","Saturday")</f>
        <v>Wednesday</v>
      </c>
      <c r="W657" t="str">
        <f>CHOOSE(BikeData[[#This Row],[weathersit]],"Clear / Few Clouds","Mist / Cloudy","Light Rain / Snow","Heavy Rain / Snow")</f>
        <v>Clear / Few Clouds</v>
      </c>
    </row>
    <row r="658" spans="1:23" x14ac:dyDescent="0.3">
      <c r="A658">
        <v>657</v>
      </c>
      <c r="B658" s="1">
        <v>41200</v>
      </c>
      <c r="C658">
        <v>4</v>
      </c>
      <c r="D658">
        <v>1</v>
      </c>
      <c r="E658">
        <v>10</v>
      </c>
      <c r="F658">
        <v>0</v>
      </c>
      <c r="G658">
        <v>4</v>
      </c>
      <c r="H658">
        <v>1</v>
      </c>
      <c r="I658">
        <v>2</v>
      </c>
      <c r="J658">
        <v>0.52249999999999996</v>
      </c>
      <c r="K658">
        <v>0.512625</v>
      </c>
      <c r="L658">
        <v>0.72833300000000001</v>
      </c>
      <c r="M658">
        <v>0.23693700000000001</v>
      </c>
      <c r="N658">
        <v>1008</v>
      </c>
      <c r="O658">
        <v>6501</v>
      </c>
      <c r="P658">
        <v>7509</v>
      </c>
      <c r="Q658" t="str">
        <f>IF(BikeData[[#This Row],[casual]]+BikeData[[#This Row],[registered]]=BikeData[[#This Row],[cnt]],"OK","Check")</f>
        <v>OK</v>
      </c>
      <c r="R658">
        <f>IF(BikeData[[#This Row],[yr]]=0,2011,2012)</f>
        <v>2012</v>
      </c>
      <c r="S658" t="str">
        <f>CHOOSE(BikeData[[#This Row],[season]],"Winter","Spring","Summer","Fall")</f>
        <v>Fall</v>
      </c>
      <c r="T658" t="str">
        <f>TEXT(DATE(2000,BikeData[[#This Row],[mnth]],1),"mmmm")</f>
        <v>October</v>
      </c>
      <c r="U658" t="str">
        <f>IF(BikeData[[#This Row],[workingday]]=1,"Working Day","Non-working Day")</f>
        <v>Working Day</v>
      </c>
      <c r="V658" t="str">
        <f>CHOOSE(BikeData[[#This Row],[weekday]]+1,"Sunday","Monday","Tuesday","Wednesday","Thursday","Friday","Saturday")</f>
        <v>Thursday</v>
      </c>
      <c r="W658" t="str">
        <f>CHOOSE(BikeData[[#This Row],[weathersit]],"Clear / Few Clouds","Mist / Cloudy","Light Rain / Snow","Heavy Rain / Snow")</f>
        <v>Mist / Cloudy</v>
      </c>
    </row>
    <row r="659" spans="1:23" x14ac:dyDescent="0.3">
      <c r="A659">
        <v>658</v>
      </c>
      <c r="B659" s="1">
        <v>41201</v>
      </c>
      <c r="C659">
        <v>4</v>
      </c>
      <c r="D659">
        <v>1</v>
      </c>
      <c r="E659">
        <v>10</v>
      </c>
      <c r="F659">
        <v>0</v>
      </c>
      <c r="G659">
        <v>5</v>
      </c>
      <c r="H659">
        <v>1</v>
      </c>
      <c r="I659">
        <v>2</v>
      </c>
      <c r="J659">
        <v>0.56333299999999997</v>
      </c>
      <c r="K659">
        <v>0.53789600000000004</v>
      </c>
      <c r="L659">
        <v>0.81499999999999995</v>
      </c>
      <c r="M659">
        <v>0.13495399999999999</v>
      </c>
      <c r="N659">
        <v>753</v>
      </c>
      <c r="O659">
        <v>4671</v>
      </c>
      <c r="P659">
        <v>5424</v>
      </c>
      <c r="Q659" t="str">
        <f>IF(BikeData[[#This Row],[casual]]+BikeData[[#This Row],[registered]]=BikeData[[#This Row],[cnt]],"OK","Check")</f>
        <v>OK</v>
      </c>
      <c r="R659">
        <f>IF(BikeData[[#This Row],[yr]]=0,2011,2012)</f>
        <v>2012</v>
      </c>
      <c r="S659" t="str">
        <f>CHOOSE(BikeData[[#This Row],[season]],"Winter","Spring","Summer","Fall")</f>
        <v>Fall</v>
      </c>
      <c r="T659" t="str">
        <f>TEXT(DATE(2000,BikeData[[#This Row],[mnth]],1),"mmmm")</f>
        <v>October</v>
      </c>
      <c r="U659" t="str">
        <f>IF(BikeData[[#This Row],[workingday]]=1,"Working Day","Non-working Day")</f>
        <v>Working Day</v>
      </c>
      <c r="V659" t="str">
        <f>CHOOSE(BikeData[[#This Row],[weekday]]+1,"Sunday","Monday","Tuesday","Wednesday","Thursday","Friday","Saturday")</f>
        <v>Friday</v>
      </c>
      <c r="W659" t="str">
        <f>CHOOSE(BikeData[[#This Row],[weathersit]],"Clear / Few Clouds","Mist / Cloudy","Light Rain / Snow","Heavy Rain / Snow")</f>
        <v>Mist / Cloudy</v>
      </c>
    </row>
    <row r="660" spans="1:23" x14ac:dyDescent="0.3">
      <c r="A660">
        <v>659</v>
      </c>
      <c r="B660" s="1">
        <v>41202</v>
      </c>
      <c r="C660">
        <v>4</v>
      </c>
      <c r="D660">
        <v>1</v>
      </c>
      <c r="E660">
        <v>10</v>
      </c>
      <c r="F660">
        <v>0</v>
      </c>
      <c r="G660">
        <v>6</v>
      </c>
      <c r="H660">
        <v>0</v>
      </c>
      <c r="I660">
        <v>1</v>
      </c>
      <c r="J660">
        <v>0.48416700000000001</v>
      </c>
      <c r="K660">
        <v>0.47284199999999998</v>
      </c>
      <c r="L660">
        <v>0.57291700000000001</v>
      </c>
      <c r="M660">
        <v>0.117537</v>
      </c>
      <c r="N660">
        <v>2806</v>
      </c>
      <c r="O660">
        <v>5284</v>
      </c>
      <c r="P660">
        <v>8090</v>
      </c>
      <c r="Q660" t="str">
        <f>IF(BikeData[[#This Row],[casual]]+BikeData[[#This Row],[registered]]=BikeData[[#This Row],[cnt]],"OK","Check")</f>
        <v>OK</v>
      </c>
      <c r="R660">
        <f>IF(BikeData[[#This Row],[yr]]=0,2011,2012)</f>
        <v>2012</v>
      </c>
      <c r="S660" t="str">
        <f>CHOOSE(BikeData[[#This Row],[season]],"Winter","Spring","Summer","Fall")</f>
        <v>Fall</v>
      </c>
      <c r="T660" t="str">
        <f>TEXT(DATE(2000,BikeData[[#This Row],[mnth]],1),"mmmm")</f>
        <v>October</v>
      </c>
      <c r="U660" t="str">
        <f>IF(BikeData[[#This Row],[workingday]]=1,"Working Day","Non-working Day")</f>
        <v>Non-working Day</v>
      </c>
      <c r="V660" t="str">
        <f>CHOOSE(BikeData[[#This Row],[weekday]]+1,"Sunday","Monday","Tuesday","Wednesday","Thursday","Friday","Saturday")</f>
        <v>Saturday</v>
      </c>
      <c r="W660" t="str">
        <f>CHOOSE(BikeData[[#This Row],[weathersit]],"Clear / Few Clouds","Mist / Cloudy","Light Rain / Snow","Heavy Rain / Snow")</f>
        <v>Clear / Few Clouds</v>
      </c>
    </row>
    <row r="661" spans="1:23" x14ac:dyDescent="0.3">
      <c r="A661">
        <v>660</v>
      </c>
      <c r="B661" s="1">
        <v>41203</v>
      </c>
      <c r="C661">
        <v>4</v>
      </c>
      <c r="D661">
        <v>1</v>
      </c>
      <c r="E661">
        <v>10</v>
      </c>
      <c r="F661">
        <v>0</v>
      </c>
      <c r="G661">
        <v>0</v>
      </c>
      <c r="H661">
        <v>0</v>
      </c>
      <c r="I661">
        <v>1</v>
      </c>
      <c r="J661">
        <v>0.464167</v>
      </c>
      <c r="K661">
        <v>0.45642899999999997</v>
      </c>
      <c r="L661">
        <v>0.51</v>
      </c>
      <c r="M661">
        <v>0.16605400000000001</v>
      </c>
      <c r="N661">
        <v>2132</v>
      </c>
      <c r="O661">
        <v>4692</v>
      </c>
      <c r="P661">
        <v>6824</v>
      </c>
      <c r="Q661" t="str">
        <f>IF(BikeData[[#This Row],[casual]]+BikeData[[#This Row],[registered]]=BikeData[[#This Row],[cnt]],"OK","Check")</f>
        <v>OK</v>
      </c>
      <c r="R661">
        <f>IF(BikeData[[#This Row],[yr]]=0,2011,2012)</f>
        <v>2012</v>
      </c>
      <c r="S661" t="str">
        <f>CHOOSE(BikeData[[#This Row],[season]],"Winter","Spring","Summer","Fall")</f>
        <v>Fall</v>
      </c>
      <c r="T661" t="str">
        <f>TEXT(DATE(2000,BikeData[[#This Row],[mnth]],1),"mmmm")</f>
        <v>October</v>
      </c>
      <c r="U661" t="str">
        <f>IF(BikeData[[#This Row],[workingday]]=1,"Working Day","Non-working Day")</f>
        <v>Non-working Day</v>
      </c>
      <c r="V661" t="str">
        <f>CHOOSE(BikeData[[#This Row],[weekday]]+1,"Sunday","Monday","Tuesday","Wednesday","Thursday","Friday","Saturday")</f>
        <v>Sunday</v>
      </c>
      <c r="W661" t="str">
        <f>CHOOSE(BikeData[[#This Row],[weathersit]],"Clear / Few Clouds","Mist / Cloudy","Light Rain / Snow","Heavy Rain / Snow")</f>
        <v>Clear / Few Clouds</v>
      </c>
    </row>
    <row r="662" spans="1:23" x14ac:dyDescent="0.3">
      <c r="A662">
        <v>661</v>
      </c>
      <c r="B662" s="1">
        <v>41204</v>
      </c>
      <c r="C662">
        <v>4</v>
      </c>
      <c r="D662">
        <v>1</v>
      </c>
      <c r="E662">
        <v>10</v>
      </c>
      <c r="F662">
        <v>0</v>
      </c>
      <c r="G662">
        <v>1</v>
      </c>
      <c r="H662">
        <v>1</v>
      </c>
      <c r="I662">
        <v>1</v>
      </c>
      <c r="J662">
        <v>0.48749999999999999</v>
      </c>
      <c r="K662">
        <v>0.48294199999999998</v>
      </c>
      <c r="L662">
        <v>0.56833299999999998</v>
      </c>
      <c r="M662">
        <v>8.1483299999999995E-2</v>
      </c>
      <c r="N662">
        <v>830</v>
      </c>
      <c r="O662">
        <v>6228</v>
      </c>
      <c r="P662">
        <v>7058</v>
      </c>
      <c r="Q662" t="str">
        <f>IF(BikeData[[#This Row],[casual]]+BikeData[[#This Row],[registered]]=BikeData[[#This Row],[cnt]],"OK","Check")</f>
        <v>OK</v>
      </c>
      <c r="R662">
        <f>IF(BikeData[[#This Row],[yr]]=0,2011,2012)</f>
        <v>2012</v>
      </c>
      <c r="S662" t="str">
        <f>CHOOSE(BikeData[[#This Row],[season]],"Winter","Spring","Summer","Fall")</f>
        <v>Fall</v>
      </c>
      <c r="T662" t="str">
        <f>TEXT(DATE(2000,BikeData[[#This Row],[mnth]],1),"mmmm")</f>
        <v>October</v>
      </c>
      <c r="U662" t="str">
        <f>IF(BikeData[[#This Row],[workingday]]=1,"Working Day","Non-working Day")</f>
        <v>Working Day</v>
      </c>
      <c r="V662" t="str">
        <f>CHOOSE(BikeData[[#This Row],[weekday]]+1,"Sunday","Monday","Tuesday","Wednesday","Thursday","Friday","Saturday")</f>
        <v>Monday</v>
      </c>
      <c r="W662" t="str">
        <f>CHOOSE(BikeData[[#This Row],[weathersit]],"Clear / Few Clouds","Mist / Cloudy","Light Rain / Snow","Heavy Rain / Snow")</f>
        <v>Clear / Few Clouds</v>
      </c>
    </row>
    <row r="663" spans="1:23" x14ac:dyDescent="0.3">
      <c r="A663">
        <v>662</v>
      </c>
      <c r="B663" s="1">
        <v>41205</v>
      </c>
      <c r="C663">
        <v>4</v>
      </c>
      <c r="D663">
        <v>1</v>
      </c>
      <c r="E663">
        <v>10</v>
      </c>
      <c r="F663">
        <v>0</v>
      </c>
      <c r="G663">
        <v>2</v>
      </c>
      <c r="H663">
        <v>1</v>
      </c>
      <c r="I663">
        <v>1</v>
      </c>
      <c r="J663">
        <v>0.54416699999999996</v>
      </c>
      <c r="K663">
        <v>0.530304</v>
      </c>
      <c r="L663">
        <v>0.64166699999999999</v>
      </c>
      <c r="M663">
        <v>9.4545799999999999E-2</v>
      </c>
      <c r="N663">
        <v>841</v>
      </c>
      <c r="O663">
        <v>6625</v>
      </c>
      <c r="P663">
        <v>7466</v>
      </c>
      <c r="Q663" t="str">
        <f>IF(BikeData[[#This Row],[casual]]+BikeData[[#This Row],[registered]]=BikeData[[#This Row],[cnt]],"OK","Check")</f>
        <v>OK</v>
      </c>
      <c r="R663">
        <f>IF(BikeData[[#This Row],[yr]]=0,2011,2012)</f>
        <v>2012</v>
      </c>
      <c r="S663" t="str">
        <f>CHOOSE(BikeData[[#This Row],[season]],"Winter","Spring","Summer","Fall")</f>
        <v>Fall</v>
      </c>
      <c r="T663" t="str">
        <f>TEXT(DATE(2000,BikeData[[#This Row],[mnth]],1),"mmmm")</f>
        <v>October</v>
      </c>
      <c r="U663" t="str">
        <f>IF(BikeData[[#This Row],[workingday]]=1,"Working Day","Non-working Day")</f>
        <v>Working Day</v>
      </c>
      <c r="V663" t="str">
        <f>CHOOSE(BikeData[[#This Row],[weekday]]+1,"Sunday","Monday","Tuesday","Wednesday","Thursday","Friday","Saturday")</f>
        <v>Tuesday</v>
      </c>
      <c r="W663" t="str">
        <f>CHOOSE(BikeData[[#This Row],[weathersit]],"Clear / Few Clouds","Mist / Cloudy","Light Rain / Snow","Heavy Rain / Snow")</f>
        <v>Clear / Few Clouds</v>
      </c>
    </row>
    <row r="664" spans="1:23" x14ac:dyDescent="0.3">
      <c r="A664">
        <v>663</v>
      </c>
      <c r="B664" s="1">
        <v>41206</v>
      </c>
      <c r="C664">
        <v>4</v>
      </c>
      <c r="D664">
        <v>1</v>
      </c>
      <c r="E664">
        <v>10</v>
      </c>
      <c r="F664">
        <v>0</v>
      </c>
      <c r="G664">
        <v>3</v>
      </c>
      <c r="H664">
        <v>1</v>
      </c>
      <c r="I664">
        <v>1</v>
      </c>
      <c r="J664">
        <v>0.58750000000000002</v>
      </c>
      <c r="K664">
        <v>0.55872100000000002</v>
      </c>
      <c r="L664">
        <v>0.63624999999999998</v>
      </c>
      <c r="M664">
        <v>7.2779200000000002E-2</v>
      </c>
      <c r="N664">
        <v>795</v>
      </c>
      <c r="O664">
        <v>6898</v>
      </c>
      <c r="P664">
        <v>7693</v>
      </c>
      <c r="Q664" t="str">
        <f>IF(BikeData[[#This Row],[casual]]+BikeData[[#This Row],[registered]]=BikeData[[#This Row],[cnt]],"OK","Check")</f>
        <v>OK</v>
      </c>
      <c r="R664">
        <f>IF(BikeData[[#This Row],[yr]]=0,2011,2012)</f>
        <v>2012</v>
      </c>
      <c r="S664" t="str">
        <f>CHOOSE(BikeData[[#This Row],[season]],"Winter","Spring","Summer","Fall")</f>
        <v>Fall</v>
      </c>
      <c r="T664" t="str">
        <f>TEXT(DATE(2000,BikeData[[#This Row],[mnth]],1),"mmmm")</f>
        <v>October</v>
      </c>
      <c r="U664" t="str">
        <f>IF(BikeData[[#This Row],[workingday]]=1,"Working Day","Non-working Day")</f>
        <v>Working Day</v>
      </c>
      <c r="V664" t="str">
        <f>CHOOSE(BikeData[[#This Row],[weekday]]+1,"Sunday","Monday","Tuesday","Wednesday","Thursday","Friday","Saturday")</f>
        <v>Wednesday</v>
      </c>
      <c r="W664" t="str">
        <f>CHOOSE(BikeData[[#This Row],[weathersit]],"Clear / Few Clouds","Mist / Cloudy","Light Rain / Snow","Heavy Rain / Snow")</f>
        <v>Clear / Few Clouds</v>
      </c>
    </row>
    <row r="665" spans="1:23" x14ac:dyDescent="0.3">
      <c r="A665">
        <v>664</v>
      </c>
      <c r="B665" s="1">
        <v>41207</v>
      </c>
      <c r="C665">
        <v>4</v>
      </c>
      <c r="D665">
        <v>1</v>
      </c>
      <c r="E665">
        <v>10</v>
      </c>
      <c r="F665">
        <v>0</v>
      </c>
      <c r="G665">
        <v>4</v>
      </c>
      <c r="H665">
        <v>1</v>
      </c>
      <c r="I665">
        <v>2</v>
      </c>
      <c r="J665">
        <v>0.55000000000000004</v>
      </c>
      <c r="K665">
        <v>0.52968800000000005</v>
      </c>
      <c r="L665">
        <v>0.80041700000000005</v>
      </c>
      <c r="M665">
        <v>0.124375</v>
      </c>
      <c r="N665">
        <v>875</v>
      </c>
      <c r="O665">
        <v>6484</v>
      </c>
      <c r="P665">
        <v>7359</v>
      </c>
      <c r="Q665" t="str">
        <f>IF(BikeData[[#This Row],[casual]]+BikeData[[#This Row],[registered]]=BikeData[[#This Row],[cnt]],"OK","Check")</f>
        <v>OK</v>
      </c>
      <c r="R665">
        <f>IF(BikeData[[#This Row],[yr]]=0,2011,2012)</f>
        <v>2012</v>
      </c>
      <c r="S665" t="str">
        <f>CHOOSE(BikeData[[#This Row],[season]],"Winter","Spring","Summer","Fall")</f>
        <v>Fall</v>
      </c>
      <c r="T665" t="str">
        <f>TEXT(DATE(2000,BikeData[[#This Row],[mnth]],1),"mmmm")</f>
        <v>October</v>
      </c>
      <c r="U665" t="str">
        <f>IF(BikeData[[#This Row],[workingday]]=1,"Working Day","Non-working Day")</f>
        <v>Working Day</v>
      </c>
      <c r="V665" t="str">
        <f>CHOOSE(BikeData[[#This Row],[weekday]]+1,"Sunday","Monday","Tuesday","Wednesday","Thursday","Friday","Saturday")</f>
        <v>Thursday</v>
      </c>
      <c r="W665" t="str">
        <f>CHOOSE(BikeData[[#This Row],[weathersit]],"Clear / Few Clouds","Mist / Cloudy","Light Rain / Snow","Heavy Rain / Snow")</f>
        <v>Mist / Cloudy</v>
      </c>
    </row>
    <row r="666" spans="1:23" x14ac:dyDescent="0.3">
      <c r="A666">
        <v>665</v>
      </c>
      <c r="B666" s="1">
        <v>41208</v>
      </c>
      <c r="C666">
        <v>4</v>
      </c>
      <c r="D666">
        <v>1</v>
      </c>
      <c r="E666">
        <v>10</v>
      </c>
      <c r="F666">
        <v>0</v>
      </c>
      <c r="G666">
        <v>5</v>
      </c>
      <c r="H666">
        <v>1</v>
      </c>
      <c r="I666">
        <v>2</v>
      </c>
      <c r="J666">
        <v>0.54583300000000001</v>
      </c>
      <c r="K666">
        <v>0.52275000000000005</v>
      </c>
      <c r="L666">
        <v>0.80708299999999999</v>
      </c>
      <c r="M666">
        <v>0.132467</v>
      </c>
      <c r="N666">
        <v>1182</v>
      </c>
      <c r="O666">
        <v>6262</v>
      </c>
      <c r="P666">
        <v>7444</v>
      </c>
      <c r="Q666" t="str">
        <f>IF(BikeData[[#This Row],[casual]]+BikeData[[#This Row],[registered]]=BikeData[[#This Row],[cnt]],"OK","Check")</f>
        <v>OK</v>
      </c>
      <c r="R666">
        <f>IF(BikeData[[#This Row],[yr]]=0,2011,2012)</f>
        <v>2012</v>
      </c>
      <c r="S666" t="str">
        <f>CHOOSE(BikeData[[#This Row],[season]],"Winter","Spring","Summer","Fall")</f>
        <v>Fall</v>
      </c>
      <c r="T666" t="str">
        <f>TEXT(DATE(2000,BikeData[[#This Row],[mnth]],1),"mmmm")</f>
        <v>October</v>
      </c>
      <c r="U666" t="str">
        <f>IF(BikeData[[#This Row],[workingday]]=1,"Working Day","Non-working Day")</f>
        <v>Working Day</v>
      </c>
      <c r="V666" t="str">
        <f>CHOOSE(BikeData[[#This Row],[weekday]]+1,"Sunday","Monday","Tuesday","Wednesday","Thursday","Friday","Saturday")</f>
        <v>Friday</v>
      </c>
      <c r="W666" t="str">
        <f>CHOOSE(BikeData[[#This Row],[weathersit]],"Clear / Few Clouds","Mist / Cloudy","Light Rain / Snow","Heavy Rain / Snow")</f>
        <v>Mist / Cloudy</v>
      </c>
    </row>
    <row r="667" spans="1:23" x14ac:dyDescent="0.3">
      <c r="A667">
        <v>666</v>
      </c>
      <c r="B667" s="1">
        <v>41209</v>
      </c>
      <c r="C667">
        <v>4</v>
      </c>
      <c r="D667">
        <v>1</v>
      </c>
      <c r="E667">
        <v>10</v>
      </c>
      <c r="F667">
        <v>0</v>
      </c>
      <c r="G667">
        <v>6</v>
      </c>
      <c r="H667">
        <v>0</v>
      </c>
      <c r="I667">
        <v>2</v>
      </c>
      <c r="J667">
        <v>0.53</v>
      </c>
      <c r="K667">
        <v>0.51513299999999995</v>
      </c>
      <c r="L667">
        <v>0.72</v>
      </c>
      <c r="M667">
        <v>0.23569200000000001</v>
      </c>
      <c r="N667">
        <v>2643</v>
      </c>
      <c r="O667">
        <v>5209</v>
      </c>
      <c r="P667">
        <v>7852</v>
      </c>
      <c r="Q667" t="str">
        <f>IF(BikeData[[#This Row],[casual]]+BikeData[[#This Row],[registered]]=BikeData[[#This Row],[cnt]],"OK","Check")</f>
        <v>OK</v>
      </c>
      <c r="R667">
        <f>IF(BikeData[[#This Row],[yr]]=0,2011,2012)</f>
        <v>2012</v>
      </c>
      <c r="S667" t="str">
        <f>CHOOSE(BikeData[[#This Row],[season]],"Winter","Spring","Summer","Fall")</f>
        <v>Fall</v>
      </c>
      <c r="T667" t="str">
        <f>TEXT(DATE(2000,BikeData[[#This Row],[mnth]],1),"mmmm")</f>
        <v>October</v>
      </c>
      <c r="U667" t="str">
        <f>IF(BikeData[[#This Row],[workingday]]=1,"Working Day","Non-working Day")</f>
        <v>Non-working Day</v>
      </c>
      <c r="V667" t="str">
        <f>CHOOSE(BikeData[[#This Row],[weekday]]+1,"Sunday","Monday","Tuesday","Wednesday","Thursday","Friday","Saturday")</f>
        <v>Saturday</v>
      </c>
      <c r="W667" t="str">
        <f>CHOOSE(BikeData[[#This Row],[weathersit]],"Clear / Few Clouds","Mist / Cloudy","Light Rain / Snow","Heavy Rain / Snow")</f>
        <v>Mist / Cloudy</v>
      </c>
    </row>
    <row r="668" spans="1:23" x14ac:dyDescent="0.3">
      <c r="A668">
        <v>667</v>
      </c>
      <c r="B668" s="1">
        <v>41210</v>
      </c>
      <c r="C668">
        <v>4</v>
      </c>
      <c r="D668">
        <v>1</v>
      </c>
      <c r="E668">
        <v>10</v>
      </c>
      <c r="F668">
        <v>0</v>
      </c>
      <c r="G668">
        <v>0</v>
      </c>
      <c r="H668">
        <v>0</v>
      </c>
      <c r="I668">
        <v>2</v>
      </c>
      <c r="J668">
        <v>0.47749999999999998</v>
      </c>
      <c r="K668">
        <v>0.46777099999999999</v>
      </c>
      <c r="L668">
        <v>0.69458299999999995</v>
      </c>
      <c r="M668">
        <v>0.39800799999999997</v>
      </c>
      <c r="N668">
        <v>998</v>
      </c>
      <c r="O668">
        <v>3461</v>
      </c>
      <c r="P668">
        <v>4459</v>
      </c>
      <c r="Q668" t="str">
        <f>IF(BikeData[[#This Row],[casual]]+BikeData[[#This Row],[registered]]=BikeData[[#This Row],[cnt]],"OK","Check")</f>
        <v>OK</v>
      </c>
      <c r="R668">
        <f>IF(BikeData[[#This Row],[yr]]=0,2011,2012)</f>
        <v>2012</v>
      </c>
      <c r="S668" t="str">
        <f>CHOOSE(BikeData[[#This Row],[season]],"Winter","Spring","Summer","Fall")</f>
        <v>Fall</v>
      </c>
      <c r="T668" t="str">
        <f>TEXT(DATE(2000,BikeData[[#This Row],[mnth]],1),"mmmm")</f>
        <v>October</v>
      </c>
      <c r="U668" t="str">
        <f>IF(BikeData[[#This Row],[workingday]]=1,"Working Day","Non-working Day")</f>
        <v>Non-working Day</v>
      </c>
      <c r="V668" t="str">
        <f>CHOOSE(BikeData[[#This Row],[weekday]]+1,"Sunday","Monday","Tuesday","Wednesday","Thursday","Friday","Saturday")</f>
        <v>Sunday</v>
      </c>
      <c r="W668" t="str">
        <f>CHOOSE(BikeData[[#This Row],[weathersit]],"Clear / Few Clouds","Mist / Cloudy","Light Rain / Snow","Heavy Rain / Snow")</f>
        <v>Mist / Cloudy</v>
      </c>
    </row>
    <row r="669" spans="1:23" x14ac:dyDescent="0.3">
      <c r="A669">
        <v>668</v>
      </c>
      <c r="B669" s="1">
        <v>41211</v>
      </c>
      <c r="C669">
        <v>4</v>
      </c>
      <c r="D669">
        <v>1</v>
      </c>
      <c r="E669">
        <v>10</v>
      </c>
      <c r="F669">
        <v>0</v>
      </c>
      <c r="G669">
        <v>1</v>
      </c>
      <c r="H669">
        <v>1</v>
      </c>
      <c r="I669">
        <v>3</v>
      </c>
      <c r="J669">
        <v>0.44</v>
      </c>
      <c r="K669">
        <v>0.43940000000000001</v>
      </c>
      <c r="L669">
        <v>0.88</v>
      </c>
      <c r="M669">
        <v>0.35820000000000002</v>
      </c>
      <c r="N669">
        <v>2</v>
      </c>
      <c r="O669">
        <v>20</v>
      </c>
      <c r="P669">
        <v>22</v>
      </c>
      <c r="Q669" t="str">
        <f>IF(BikeData[[#This Row],[casual]]+BikeData[[#This Row],[registered]]=BikeData[[#This Row],[cnt]],"OK","Check")</f>
        <v>OK</v>
      </c>
      <c r="R669">
        <f>IF(BikeData[[#This Row],[yr]]=0,2011,2012)</f>
        <v>2012</v>
      </c>
      <c r="S669" t="str">
        <f>CHOOSE(BikeData[[#This Row],[season]],"Winter","Spring","Summer","Fall")</f>
        <v>Fall</v>
      </c>
      <c r="T669" t="str">
        <f>TEXT(DATE(2000,BikeData[[#This Row],[mnth]],1),"mmmm")</f>
        <v>October</v>
      </c>
      <c r="U669" t="str">
        <f>IF(BikeData[[#This Row],[workingday]]=1,"Working Day","Non-working Day")</f>
        <v>Working Day</v>
      </c>
      <c r="V669" t="str">
        <f>CHOOSE(BikeData[[#This Row],[weekday]]+1,"Sunday","Monday","Tuesday","Wednesday","Thursday","Friday","Saturday")</f>
        <v>Monday</v>
      </c>
      <c r="W669" t="str">
        <f>CHOOSE(BikeData[[#This Row],[weathersit]],"Clear / Few Clouds","Mist / Cloudy","Light Rain / Snow","Heavy Rain / Snow")</f>
        <v>Light Rain / Snow</v>
      </c>
    </row>
    <row r="670" spans="1:23" x14ac:dyDescent="0.3">
      <c r="A670">
        <v>669</v>
      </c>
      <c r="B670" s="1">
        <v>41212</v>
      </c>
      <c r="C670">
        <v>4</v>
      </c>
      <c r="D670">
        <v>1</v>
      </c>
      <c r="E670">
        <v>10</v>
      </c>
      <c r="F670">
        <v>0</v>
      </c>
      <c r="G670">
        <v>2</v>
      </c>
      <c r="H670">
        <v>1</v>
      </c>
      <c r="I670">
        <v>2</v>
      </c>
      <c r="J670">
        <v>0.31818200000000002</v>
      </c>
      <c r="K670">
        <v>0.30990899999999999</v>
      </c>
      <c r="L670">
        <v>0.82545500000000005</v>
      </c>
      <c r="M670">
        <v>0.213009</v>
      </c>
      <c r="N670">
        <v>87</v>
      </c>
      <c r="O670">
        <v>1009</v>
      </c>
      <c r="P670">
        <v>1096</v>
      </c>
      <c r="Q670" t="str">
        <f>IF(BikeData[[#This Row],[casual]]+BikeData[[#This Row],[registered]]=BikeData[[#This Row],[cnt]],"OK","Check")</f>
        <v>OK</v>
      </c>
      <c r="R670">
        <f>IF(BikeData[[#This Row],[yr]]=0,2011,2012)</f>
        <v>2012</v>
      </c>
      <c r="S670" t="str">
        <f>CHOOSE(BikeData[[#This Row],[season]],"Winter","Spring","Summer","Fall")</f>
        <v>Fall</v>
      </c>
      <c r="T670" t="str">
        <f>TEXT(DATE(2000,BikeData[[#This Row],[mnth]],1),"mmmm")</f>
        <v>October</v>
      </c>
      <c r="U670" t="str">
        <f>IF(BikeData[[#This Row],[workingday]]=1,"Working Day","Non-working Day")</f>
        <v>Working Day</v>
      </c>
      <c r="V670" t="str">
        <f>CHOOSE(BikeData[[#This Row],[weekday]]+1,"Sunday","Monday","Tuesday","Wednesday","Thursday","Friday","Saturday")</f>
        <v>Tuesday</v>
      </c>
      <c r="W670" t="str">
        <f>CHOOSE(BikeData[[#This Row],[weathersit]],"Clear / Few Clouds","Mist / Cloudy","Light Rain / Snow","Heavy Rain / Snow")</f>
        <v>Mist / Cloudy</v>
      </c>
    </row>
    <row r="671" spans="1:23" x14ac:dyDescent="0.3">
      <c r="A671">
        <v>670</v>
      </c>
      <c r="B671" s="1">
        <v>41213</v>
      </c>
      <c r="C671">
        <v>4</v>
      </c>
      <c r="D671">
        <v>1</v>
      </c>
      <c r="E671">
        <v>10</v>
      </c>
      <c r="F671">
        <v>0</v>
      </c>
      <c r="G671">
        <v>3</v>
      </c>
      <c r="H671">
        <v>1</v>
      </c>
      <c r="I671">
        <v>2</v>
      </c>
      <c r="J671">
        <v>0.35749999999999998</v>
      </c>
      <c r="K671">
        <v>0.36109999999999998</v>
      </c>
      <c r="L671">
        <v>0.66666700000000001</v>
      </c>
      <c r="M671">
        <v>0.16666700000000001</v>
      </c>
      <c r="N671">
        <v>419</v>
      </c>
      <c r="O671">
        <v>5147</v>
      </c>
      <c r="P671">
        <v>5566</v>
      </c>
      <c r="Q671" t="str">
        <f>IF(BikeData[[#This Row],[casual]]+BikeData[[#This Row],[registered]]=BikeData[[#This Row],[cnt]],"OK","Check")</f>
        <v>OK</v>
      </c>
      <c r="R671">
        <f>IF(BikeData[[#This Row],[yr]]=0,2011,2012)</f>
        <v>2012</v>
      </c>
      <c r="S671" t="str">
        <f>CHOOSE(BikeData[[#This Row],[season]],"Winter","Spring","Summer","Fall")</f>
        <v>Fall</v>
      </c>
      <c r="T671" t="str">
        <f>TEXT(DATE(2000,BikeData[[#This Row],[mnth]],1),"mmmm")</f>
        <v>October</v>
      </c>
      <c r="U671" t="str">
        <f>IF(BikeData[[#This Row],[workingday]]=1,"Working Day","Non-working Day")</f>
        <v>Working Day</v>
      </c>
      <c r="V671" t="str">
        <f>CHOOSE(BikeData[[#This Row],[weekday]]+1,"Sunday","Monday","Tuesday","Wednesday","Thursday","Friday","Saturday")</f>
        <v>Wednesday</v>
      </c>
      <c r="W671" t="str">
        <f>CHOOSE(BikeData[[#This Row],[weathersit]],"Clear / Few Clouds","Mist / Cloudy","Light Rain / Snow","Heavy Rain / Snow")</f>
        <v>Mist / Cloudy</v>
      </c>
    </row>
    <row r="672" spans="1:23" x14ac:dyDescent="0.3">
      <c r="A672">
        <v>671</v>
      </c>
      <c r="B672" s="1">
        <v>41214</v>
      </c>
      <c r="C672">
        <v>4</v>
      </c>
      <c r="D672">
        <v>1</v>
      </c>
      <c r="E672">
        <v>11</v>
      </c>
      <c r="F672">
        <v>0</v>
      </c>
      <c r="G672">
        <v>4</v>
      </c>
      <c r="H672">
        <v>1</v>
      </c>
      <c r="I672">
        <v>2</v>
      </c>
      <c r="J672">
        <v>0.36583300000000002</v>
      </c>
      <c r="K672">
        <v>0.36994199999999999</v>
      </c>
      <c r="L672">
        <v>0.58166700000000005</v>
      </c>
      <c r="M672">
        <v>0.15734600000000001</v>
      </c>
      <c r="N672">
        <v>466</v>
      </c>
      <c r="O672">
        <v>5520</v>
      </c>
      <c r="P672">
        <v>5986</v>
      </c>
      <c r="Q672" t="str">
        <f>IF(BikeData[[#This Row],[casual]]+BikeData[[#This Row],[registered]]=BikeData[[#This Row],[cnt]],"OK","Check")</f>
        <v>OK</v>
      </c>
      <c r="R672">
        <f>IF(BikeData[[#This Row],[yr]]=0,2011,2012)</f>
        <v>2012</v>
      </c>
      <c r="S672" t="str">
        <f>CHOOSE(BikeData[[#This Row],[season]],"Winter","Spring","Summer","Fall")</f>
        <v>Fall</v>
      </c>
      <c r="T672" t="str">
        <f>TEXT(DATE(2000,BikeData[[#This Row],[mnth]],1),"mmmm")</f>
        <v>November</v>
      </c>
      <c r="U672" t="str">
        <f>IF(BikeData[[#This Row],[workingday]]=1,"Working Day","Non-working Day")</f>
        <v>Working Day</v>
      </c>
      <c r="V672" t="str">
        <f>CHOOSE(BikeData[[#This Row],[weekday]]+1,"Sunday","Monday","Tuesday","Wednesday","Thursday","Friday","Saturday")</f>
        <v>Thursday</v>
      </c>
      <c r="W672" t="str">
        <f>CHOOSE(BikeData[[#This Row],[weathersit]],"Clear / Few Clouds","Mist / Cloudy","Light Rain / Snow","Heavy Rain / Snow")</f>
        <v>Mist / Cloudy</v>
      </c>
    </row>
    <row r="673" spans="1:23" x14ac:dyDescent="0.3">
      <c r="A673">
        <v>672</v>
      </c>
      <c r="B673" s="1">
        <v>41215</v>
      </c>
      <c r="C673">
        <v>4</v>
      </c>
      <c r="D673">
        <v>1</v>
      </c>
      <c r="E673">
        <v>11</v>
      </c>
      <c r="F673">
        <v>0</v>
      </c>
      <c r="G673">
        <v>5</v>
      </c>
      <c r="H673">
        <v>1</v>
      </c>
      <c r="I673">
        <v>1</v>
      </c>
      <c r="J673">
        <v>0.35499999999999998</v>
      </c>
      <c r="K673">
        <v>0.35604200000000003</v>
      </c>
      <c r="L673">
        <v>0.52208299999999996</v>
      </c>
      <c r="M673">
        <v>0.26617499999999999</v>
      </c>
      <c r="N673">
        <v>618</v>
      </c>
      <c r="O673">
        <v>5229</v>
      </c>
      <c r="P673">
        <v>5847</v>
      </c>
      <c r="Q673" t="str">
        <f>IF(BikeData[[#This Row],[casual]]+BikeData[[#This Row],[registered]]=BikeData[[#This Row],[cnt]],"OK","Check")</f>
        <v>OK</v>
      </c>
      <c r="R673">
        <f>IF(BikeData[[#This Row],[yr]]=0,2011,2012)</f>
        <v>2012</v>
      </c>
      <c r="S673" t="str">
        <f>CHOOSE(BikeData[[#This Row],[season]],"Winter","Spring","Summer","Fall")</f>
        <v>Fall</v>
      </c>
      <c r="T673" t="str">
        <f>TEXT(DATE(2000,BikeData[[#This Row],[mnth]],1),"mmmm")</f>
        <v>November</v>
      </c>
      <c r="U673" t="str">
        <f>IF(BikeData[[#This Row],[workingday]]=1,"Working Day","Non-working Day")</f>
        <v>Working Day</v>
      </c>
      <c r="V673" t="str">
        <f>CHOOSE(BikeData[[#This Row],[weekday]]+1,"Sunday","Monday","Tuesday","Wednesday","Thursday","Friday","Saturday")</f>
        <v>Friday</v>
      </c>
      <c r="W673" t="str">
        <f>CHOOSE(BikeData[[#This Row],[weathersit]],"Clear / Few Clouds","Mist / Cloudy","Light Rain / Snow","Heavy Rain / Snow")</f>
        <v>Clear / Few Clouds</v>
      </c>
    </row>
    <row r="674" spans="1:23" x14ac:dyDescent="0.3">
      <c r="A674">
        <v>673</v>
      </c>
      <c r="B674" s="1">
        <v>41216</v>
      </c>
      <c r="C674">
        <v>4</v>
      </c>
      <c r="D674">
        <v>1</v>
      </c>
      <c r="E674">
        <v>11</v>
      </c>
      <c r="F674">
        <v>0</v>
      </c>
      <c r="G674">
        <v>6</v>
      </c>
      <c r="H674">
        <v>0</v>
      </c>
      <c r="I674">
        <v>2</v>
      </c>
      <c r="J674">
        <v>0.343333</v>
      </c>
      <c r="K674">
        <v>0.32384600000000002</v>
      </c>
      <c r="L674">
        <v>0.49125000000000002</v>
      </c>
      <c r="M674">
        <v>0.27052900000000002</v>
      </c>
      <c r="N674">
        <v>1029</v>
      </c>
      <c r="O674">
        <v>4109</v>
      </c>
      <c r="P674">
        <v>5138</v>
      </c>
      <c r="Q674" t="str">
        <f>IF(BikeData[[#This Row],[casual]]+BikeData[[#This Row],[registered]]=BikeData[[#This Row],[cnt]],"OK","Check")</f>
        <v>OK</v>
      </c>
      <c r="R674">
        <f>IF(BikeData[[#This Row],[yr]]=0,2011,2012)</f>
        <v>2012</v>
      </c>
      <c r="S674" t="str">
        <f>CHOOSE(BikeData[[#This Row],[season]],"Winter","Spring","Summer","Fall")</f>
        <v>Fall</v>
      </c>
      <c r="T674" t="str">
        <f>TEXT(DATE(2000,BikeData[[#This Row],[mnth]],1),"mmmm")</f>
        <v>November</v>
      </c>
      <c r="U674" t="str">
        <f>IF(BikeData[[#This Row],[workingday]]=1,"Working Day","Non-working Day")</f>
        <v>Non-working Day</v>
      </c>
      <c r="V674" t="str">
        <f>CHOOSE(BikeData[[#This Row],[weekday]]+1,"Sunday","Monday","Tuesday","Wednesday","Thursday","Friday","Saturday")</f>
        <v>Saturday</v>
      </c>
      <c r="W674" t="str">
        <f>CHOOSE(BikeData[[#This Row],[weathersit]],"Clear / Few Clouds","Mist / Cloudy","Light Rain / Snow","Heavy Rain / Snow")</f>
        <v>Mist / Cloudy</v>
      </c>
    </row>
    <row r="675" spans="1:23" x14ac:dyDescent="0.3">
      <c r="A675">
        <v>674</v>
      </c>
      <c r="B675" s="1">
        <v>41217</v>
      </c>
      <c r="C675">
        <v>4</v>
      </c>
      <c r="D675">
        <v>1</v>
      </c>
      <c r="E675">
        <v>11</v>
      </c>
      <c r="F675">
        <v>0</v>
      </c>
      <c r="G675">
        <v>0</v>
      </c>
      <c r="H675">
        <v>0</v>
      </c>
      <c r="I675">
        <v>1</v>
      </c>
      <c r="J675">
        <v>0.32583299999999998</v>
      </c>
      <c r="K675">
        <v>0.329538</v>
      </c>
      <c r="L675">
        <v>0.53291699999999997</v>
      </c>
      <c r="M675">
        <v>0.17910799999999999</v>
      </c>
      <c r="N675">
        <v>1201</v>
      </c>
      <c r="O675">
        <v>3906</v>
      </c>
      <c r="P675">
        <v>5107</v>
      </c>
      <c r="Q675" t="str">
        <f>IF(BikeData[[#This Row],[casual]]+BikeData[[#This Row],[registered]]=BikeData[[#This Row],[cnt]],"OK","Check")</f>
        <v>OK</v>
      </c>
      <c r="R675">
        <f>IF(BikeData[[#This Row],[yr]]=0,2011,2012)</f>
        <v>2012</v>
      </c>
      <c r="S675" t="str">
        <f>CHOOSE(BikeData[[#This Row],[season]],"Winter","Spring","Summer","Fall")</f>
        <v>Fall</v>
      </c>
      <c r="T675" t="str">
        <f>TEXT(DATE(2000,BikeData[[#This Row],[mnth]],1),"mmmm")</f>
        <v>November</v>
      </c>
      <c r="U675" t="str">
        <f>IF(BikeData[[#This Row],[workingday]]=1,"Working Day","Non-working Day")</f>
        <v>Non-working Day</v>
      </c>
      <c r="V675" t="str">
        <f>CHOOSE(BikeData[[#This Row],[weekday]]+1,"Sunday","Monday","Tuesday","Wednesday","Thursday","Friday","Saturday")</f>
        <v>Sunday</v>
      </c>
      <c r="W675" t="str">
        <f>CHOOSE(BikeData[[#This Row],[weathersit]],"Clear / Few Clouds","Mist / Cloudy","Light Rain / Snow","Heavy Rain / Snow")</f>
        <v>Clear / Few Clouds</v>
      </c>
    </row>
    <row r="676" spans="1:23" x14ac:dyDescent="0.3">
      <c r="A676">
        <v>675</v>
      </c>
      <c r="B676" s="1">
        <v>41218</v>
      </c>
      <c r="C676">
        <v>4</v>
      </c>
      <c r="D676">
        <v>1</v>
      </c>
      <c r="E676">
        <v>11</v>
      </c>
      <c r="F676">
        <v>0</v>
      </c>
      <c r="G676">
        <v>1</v>
      </c>
      <c r="H676">
        <v>1</v>
      </c>
      <c r="I676">
        <v>1</v>
      </c>
      <c r="J676">
        <v>0.31916699999999998</v>
      </c>
      <c r="K676">
        <v>0.30807499999999999</v>
      </c>
      <c r="L676">
        <v>0.49416700000000002</v>
      </c>
      <c r="M676">
        <v>0.23632500000000001</v>
      </c>
      <c r="N676">
        <v>378</v>
      </c>
      <c r="O676">
        <v>4881</v>
      </c>
      <c r="P676">
        <v>5259</v>
      </c>
      <c r="Q676" t="str">
        <f>IF(BikeData[[#This Row],[casual]]+BikeData[[#This Row],[registered]]=BikeData[[#This Row],[cnt]],"OK","Check")</f>
        <v>OK</v>
      </c>
      <c r="R676">
        <f>IF(BikeData[[#This Row],[yr]]=0,2011,2012)</f>
        <v>2012</v>
      </c>
      <c r="S676" t="str">
        <f>CHOOSE(BikeData[[#This Row],[season]],"Winter","Spring","Summer","Fall")</f>
        <v>Fall</v>
      </c>
      <c r="T676" t="str">
        <f>TEXT(DATE(2000,BikeData[[#This Row],[mnth]],1),"mmmm")</f>
        <v>November</v>
      </c>
      <c r="U676" t="str">
        <f>IF(BikeData[[#This Row],[workingday]]=1,"Working Day","Non-working Day")</f>
        <v>Working Day</v>
      </c>
      <c r="V676" t="str">
        <f>CHOOSE(BikeData[[#This Row],[weekday]]+1,"Sunday","Monday","Tuesday","Wednesday","Thursday","Friday","Saturday")</f>
        <v>Monday</v>
      </c>
      <c r="W676" t="str">
        <f>CHOOSE(BikeData[[#This Row],[weathersit]],"Clear / Few Clouds","Mist / Cloudy","Light Rain / Snow","Heavy Rain / Snow")</f>
        <v>Clear / Few Clouds</v>
      </c>
    </row>
    <row r="677" spans="1:23" x14ac:dyDescent="0.3">
      <c r="A677">
        <v>676</v>
      </c>
      <c r="B677" s="1">
        <v>41219</v>
      </c>
      <c r="C677">
        <v>4</v>
      </c>
      <c r="D677">
        <v>1</v>
      </c>
      <c r="E677">
        <v>11</v>
      </c>
      <c r="F677">
        <v>0</v>
      </c>
      <c r="G677">
        <v>2</v>
      </c>
      <c r="H677">
        <v>1</v>
      </c>
      <c r="I677">
        <v>1</v>
      </c>
      <c r="J677">
        <v>0.280833</v>
      </c>
      <c r="K677">
        <v>0.28156700000000001</v>
      </c>
      <c r="L677">
        <v>0.567083</v>
      </c>
      <c r="M677">
        <v>0.173513</v>
      </c>
      <c r="N677">
        <v>466</v>
      </c>
      <c r="O677">
        <v>5220</v>
      </c>
      <c r="P677">
        <v>5686</v>
      </c>
      <c r="Q677" t="str">
        <f>IF(BikeData[[#This Row],[casual]]+BikeData[[#This Row],[registered]]=BikeData[[#This Row],[cnt]],"OK","Check")</f>
        <v>OK</v>
      </c>
      <c r="R677">
        <f>IF(BikeData[[#This Row],[yr]]=0,2011,2012)</f>
        <v>2012</v>
      </c>
      <c r="S677" t="str">
        <f>CHOOSE(BikeData[[#This Row],[season]],"Winter","Spring","Summer","Fall")</f>
        <v>Fall</v>
      </c>
      <c r="T677" t="str">
        <f>TEXT(DATE(2000,BikeData[[#This Row],[mnth]],1),"mmmm")</f>
        <v>November</v>
      </c>
      <c r="U677" t="str">
        <f>IF(BikeData[[#This Row],[workingday]]=1,"Working Day","Non-working Day")</f>
        <v>Working Day</v>
      </c>
      <c r="V677" t="str">
        <f>CHOOSE(BikeData[[#This Row],[weekday]]+1,"Sunday","Monday","Tuesday","Wednesday","Thursday","Friday","Saturday")</f>
        <v>Tuesday</v>
      </c>
      <c r="W677" t="str">
        <f>CHOOSE(BikeData[[#This Row],[weathersit]],"Clear / Few Clouds","Mist / Cloudy","Light Rain / Snow","Heavy Rain / Snow")</f>
        <v>Clear / Few Clouds</v>
      </c>
    </row>
    <row r="678" spans="1:23" x14ac:dyDescent="0.3">
      <c r="A678">
        <v>677</v>
      </c>
      <c r="B678" s="1">
        <v>41220</v>
      </c>
      <c r="C678">
        <v>4</v>
      </c>
      <c r="D678">
        <v>1</v>
      </c>
      <c r="E678">
        <v>11</v>
      </c>
      <c r="F678">
        <v>0</v>
      </c>
      <c r="G678">
        <v>3</v>
      </c>
      <c r="H678">
        <v>1</v>
      </c>
      <c r="I678">
        <v>2</v>
      </c>
      <c r="J678">
        <v>0.29583300000000001</v>
      </c>
      <c r="K678">
        <v>0.274621</v>
      </c>
      <c r="L678">
        <v>0.54749999999999999</v>
      </c>
      <c r="M678">
        <v>0.30410799999999999</v>
      </c>
      <c r="N678">
        <v>326</v>
      </c>
      <c r="O678">
        <v>4709</v>
      </c>
      <c r="P678">
        <v>5035</v>
      </c>
      <c r="Q678" t="str">
        <f>IF(BikeData[[#This Row],[casual]]+BikeData[[#This Row],[registered]]=BikeData[[#This Row],[cnt]],"OK","Check")</f>
        <v>OK</v>
      </c>
      <c r="R678">
        <f>IF(BikeData[[#This Row],[yr]]=0,2011,2012)</f>
        <v>2012</v>
      </c>
      <c r="S678" t="str">
        <f>CHOOSE(BikeData[[#This Row],[season]],"Winter","Spring","Summer","Fall")</f>
        <v>Fall</v>
      </c>
      <c r="T678" t="str">
        <f>TEXT(DATE(2000,BikeData[[#This Row],[mnth]],1),"mmmm")</f>
        <v>November</v>
      </c>
      <c r="U678" t="str">
        <f>IF(BikeData[[#This Row],[workingday]]=1,"Working Day","Non-working Day")</f>
        <v>Working Day</v>
      </c>
      <c r="V678" t="str">
        <f>CHOOSE(BikeData[[#This Row],[weekday]]+1,"Sunday","Monday","Tuesday","Wednesday","Thursday","Friday","Saturday")</f>
        <v>Wednesday</v>
      </c>
      <c r="W678" t="str">
        <f>CHOOSE(BikeData[[#This Row],[weathersit]],"Clear / Few Clouds","Mist / Cloudy","Light Rain / Snow","Heavy Rain / Snow")</f>
        <v>Mist / Cloudy</v>
      </c>
    </row>
    <row r="679" spans="1:23" x14ac:dyDescent="0.3">
      <c r="A679">
        <v>678</v>
      </c>
      <c r="B679" s="1">
        <v>41221</v>
      </c>
      <c r="C679">
        <v>4</v>
      </c>
      <c r="D679">
        <v>1</v>
      </c>
      <c r="E679">
        <v>11</v>
      </c>
      <c r="F679">
        <v>0</v>
      </c>
      <c r="G679">
        <v>4</v>
      </c>
      <c r="H679">
        <v>1</v>
      </c>
      <c r="I679">
        <v>1</v>
      </c>
      <c r="J679">
        <v>0.35217399999999999</v>
      </c>
      <c r="K679">
        <v>0.341891</v>
      </c>
      <c r="L679">
        <v>0.333478</v>
      </c>
      <c r="M679">
        <v>0.34783500000000001</v>
      </c>
      <c r="N679">
        <v>340</v>
      </c>
      <c r="O679">
        <v>4975</v>
      </c>
      <c r="P679">
        <v>5315</v>
      </c>
      <c r="Q679" t="str">
        <f>IF(BikeData[[#This Row],[casual]]+BikeData[[#This Row],[registered]]=BikeData[[#This Row],[cnt]],"OK","Check")</f>
        <v>OK</v>
      </c>
      <c r="R679">
        <f>IF(BikeData[[#This Row],[yr]]=0,2011,2012)</f>
        <v>2012</v>
      </c>
      <c r="S679" t="str">
        <f>CHOOSE(BikeData[[#This Row],[season]],"Winter","Spring","Summer","Fall")</f>
        <v>Fall</v>
      </c>
      <c r="T679" t="str">
        <f>TEXT(DATE(2000,BikeData[[#This Row],[mnth]],1),"mmmm")</f>
        <v>November</v>
      </c>
      <c r="U679" t="str">
        <f>IF(BikeData[[#This Row],[workingday]]=1,"Working Day","Non-working Day")</f>
        <v>Working Day</v>
      </c>
      <c r="V679" t="str">
        <f>CHOOSE(BikeData[[#This Row],[weekday]]+1,"Sunday","Monday","Tuesday","Wednesday","Thursday","Friday","Saturday")</f>
        <v>Thursday</v>
      </c>
      <c r="W679" t="str">
        <f>CHOOSE(BikeData[[#This Row],[weathersit]],"Clear / Few Clouds","Mist / Cloudy","Light Rain / Snow","Heavy Rain / Snow")</f>
        <v>Clear / Few Clouds</v>
      </c>
    </row>
    <row r="680" spans="1:23" x14ac:dyDescent="0.3">
      <c r="A680">
        <v>679</v>
      </c>
      <c r="B680" s="1">
        <v>41222</v>
      </c>
      <c r="C680">
        <v>4</v>
      </c>
      <c r="D680">
        <v>1</v>
      </c>
      <c r="E680">
        <v>11</v>
      </c>
      <c r="F680">
        <v>0</v>
      </c>
      <c r="G680">
        <v>5</v>
      </c>
      <c r="H680">
        <v>1</v>
      </c>
      <c r="I680">
        <v>1</v>
      </c>
      <c r="J680">
        <v>0.36166700000000002</v>
      </c>
      <c r="K680">
        <v>0.35541299999999998</v>
      </c>
      <c r="L680">
        <v>0.54083300000000001</v>
      </c>
      <c r="M680">
        <v>0.214558</v>
      </c>
      <c r="N680">
        <v>709</v>
      </c>
      <c r="O680">
        <v>5283</v>
      </c>
      <c r="P680">
        <v>5992</v>
      </c>
      <c r="Q680" t="str">
        <f>IF(BikeData[[#This Row],[casual]]+BikeData[[#This Row],[registered]]=BikeData[[#This Row],[cnt]],"OK","Check")</f>
        <v>OK</v>
      </c>
      <c r="R680">
        <f>IF(BikeData[[#This Row],[yr]]=0,2011,2012)</f>
        <v>2012</v>
      </c>
      <c r="S680" t="str">
        <f>CHOOSE(BikeData[[#This Row],[season]],"Winter","Spring","Summer","Fall")</f>
        <v>Fall</v>
      </c>
      <c r="T680" t="str">
        <f>TEXT(DATE(2000,BikeData[[#This Row],[mnth]],1),"mmmm")</f>
        <v>November</v>
      </c>
      <c r="U680" t="str">
        <f>IF(BikeData[[#This Row],[workingday]]=1,"Working Day","Non-working Day")</f>
        <v>Working Day</v>
      </c>
      <c r="V680" t="str">
        <f>CHOOSE(BikeData[[#This Row],[weekday]]+1,"Sunday","Monday","Tuesday","Wednesday","Thursday","Friday","Saturday")</f>
        <v>Friday</v>
      </c>
      <c r="W680" t="str">
        <f>CHOOSE(BikeData[[#This Row],[weathersit]],"Clear / Few Clouds","Mist / Cloudy","Light Rain / Snow","Heavy Rain / Snow")</f>
        <v>Clear / Few Clouds</v>
      </c>
    </row>
    <row r="681" spans="1:23" x14ac:dyDescent="0.3">
      <c r="A681">
        <v>680</v>
      </c>
      <c r="B681" s="1">
        <v>41223</v>
      </c>
      <c r="C681">
        <v>4</v>
      </c>
      <c r="D681">
        <v>1</v>
      </c>
      <c r="E681">
        <v>11</v>
      </c>
      <c r="F681">
        <v>0</v>
      </c>
      <c r="G681">
        <v>6</v>
      </c>
      <c r="H681">
        <v>0</v>
      </c>
      <c r="I681">
        <v>1</v>
      </c>
      <c r="J681">
        <v>0.38916699999999999</v>
      </c>
      <c r="K681">
        <v>0.39393699999999998</v>
      </c>
      <c r="L681">
        <v>0.64541700000000002</v>
      </c>
      <c r="M681">
        <v>5.7845800000000003E-2</v>
      </c>
      <c r="N681">
        <v>2090</v>
      </c>
      <c r="O681">
        <v>4446</v>
      </c>
      <c r="P681">
        <v>6536</v>
      </c>
      <c r="Q681" t="str">
        <f>IF(BikeData[[#This Row],[casual]]+BikeData[[#This Row],[registered]]=BikeData[[#This Row],[cnt]],"OK","Check")</f>
        <v>OK</v>
      </c>
      <c r="R681">
        <f>IF(BikeData[[#This Row],[yr]]=0,2011,2012)</f>
        <v>2012</v>
      </c>
      <c r="S681" t="str">
        <f>CHOOSE(BikeData[[#This Row],[season]],"Winter","Spring","Summer","Fall")</f>
        <v>Fall</v>
      </c>
      <c r="T681" t="str">
        <f>TEXT(DATE(2000,BikeData[[#This Row],[mnth]],1),"mmmm")</f>
        <v>November</v>
      </c>
      <c r="U681" t="str">
        <f>IF(BikeData[[#This Row],[workingday]]=1,"Working Day","Non-working Day")</f>
        <v>Non-working Day</v>
      </c>
      <c r="V681" t="str">
        <f>CHOOSE(BikeData[[#This Row],[weekday]]+1,"Sunday","Monday","Tuesday","Wednesday","Thursday","Friday","Saturday")</f>
        <v>Saturday</v>
      </c>
      <c r="W681" t="str">
        <f>CHOOSE(BikeData[[#This Row],[weathersit]],"Clear / Few Clouds","Mist / Cloudy","Light Rain / Snow","Heavy Rain / Snow")</f>
        <v>Clear / Few Clouds</v>
      </c>
    </row>
    <row r="682" spans="1:23" x14ac:dyDescent="0.3">
      <c r="A682">
        <v>681</v>
      </c>
      <c r="B682" s="1">
        <v>41224</v>
      </c>
      <c r="C682">
        <v>4</v>
      </c>
      <c r="D682">
        <v>1</v>
      </c>
      <c r="E682">
        <v>11</v>
      </c>
      <c r="F682">
        <v>0</v>
      </c>
      <c r="G682">
        <v>0</v>
      </c>
      <c r="H682">
        <v>0</v>
      </c>
      <c r="I682">
        <v>1</v>
      </c>
      <c r="J682">
        <v>0.42083300000000001</v>
      </c>
      <c r="K682">
        <v>0.421713</v>
      </c>
      <c r="L682">
        <v>0.65916699999999995</v>
      </c>
      <c r="M682">
        <v>0.1275</v>
      </c>
      <c r="N682">
        <v>2290</v>
      </c>
      <c r="O682">
        <v>4562</v>
      </c>
      <c r="P682">
        <v>6852</v>
      </c>
      <c r="Q682" t="str">
        <f>IF(BikeData[[#This Row],[casual]]+BikeData[[#This Row],[registered]]=BikeData[[#This Row],[cnt]],"OK","Check")</f>
        <v>OK</v>
      </c>
      <c r="R682">
        <f>IF(BikeData[[#This Row],[yr]]=0,2011,2012)</f>
        <v>2012</v>
      </c>
      <c r="S682" t="str">
        <f>CHOOSE(BikeData[[#This Row],[season]],"Winter","Spring","Summer","Fall")</f>
        <v>Fall</v>
      </c>
      <c r="T682" t="str">
        <f>TEXT(DATE(2000,BikeData[[#This Row],[mnth]],1),"mmmm")</f>
        <v>November</v>
      </c>
      <c r="U682" t="str">
        <f>IF(BikeData[[#This Row],[workingday]]=1,"Working Day","Non-working Day")</f>
        <v>Non-working Day</v>
      </c>
      <c r="V682" t="str">
        <f>CHOOSE(BikeData[[#This Row],[weekday]]+1,"Sunday","Monday","Tuesday","Wednesday","Thursday","Friday","Saturday")</f>
        <v>Sunday</v>
      </c>
      <c r="W682" t="str">
        <f>CHOOSE(BikeData[[#This Row],[weathersit]],"Clear / Few Clouds","Mist / Cloudy","Light Rain / Snow","Heavy Rain / Snow")</f>
        <v>Clear / Few Clouds</v>
      </c>
    </row>
    <row r="683" spans="1:23" x14ac:dyDescent="0.3">
      <c r="A683">
        <v>682</v>
      </c>
      <c r="B683" s="1">
        <v>41225</v>
      </c>
      <c r="C683">
        <v>4</v>
      </c>
      <c r="D683">
        <v>1</v>
      </c>
      <c r="E683">
        <v>11</v>
      </c>
      <c r="F683">
        <v>1</v>
      </c>
      <c r="G683">
        <v>1</v>
      </c>
      <c r="H683">
        <v>0</v>
      </c>
      <c r="I683">
        <v>1</v>
      </c>
      <c r="J683">
        <v>0.48499999999999999</v>
      </c>
      <c r="K683">
        <v>0.475383</v>
      </c>
      <c r="L683">
        <v>0.74166699999999997</v>
      </c>
      <c r="M683">
        <v>0.173517</v>
      </c>
      <c r="N683">
        <v>1097</v>
      </c>
      <c r="O683">
        <v>5172</v>
      </c>
      <c r="P683">
        <v>6269</v>
      </c>
      <c r="Q683" t="str">
        <f>IF(BikeData[[#This Row],[casual]]+BikeData[[#This Row],[registered]]=BikeData[[#This Row],[cnt]],"OK","Check")</f>
        <v>OK</v>
      </c>
      <c r="R683">
        <f>IF(BikeData[[#This Row],[yr]]=0,2011,2012)</f>
        <v>2012</v>
      </c>
      <c r="S683" t="str">
        <f>CHOOSE(BikeData[[#This Row],[season]],"Winter","Spring","Summer","Fall")</f>
        <v>Fall</v>
      </c>
      <c r="T683" t="str">
        <f>TEXT(DATE(2000,BikeData[[#This Row],[mnth]],1),"mmmm")</f>
        <v>November</v>
      </c>
      <c r="U683" t="str">
        <f>IF(BikeData[[#This Row],[workingday]]=1,"Working Day","Non-working Day")</f>
        <v>Non-working Day</v>
      </c>
      <c r="V683" t="str">
        <f>CHOOSE(BikeData[[#This Row],[weekday]]+1,"Sunday","Monday","Tuesday","Wednesday","Thursday","Friday","Saturday")</f>
        <v>Monday</v>
      </c>
      <c r="W683" t="str">
        <f>CHOOSE(BikeData[[#This Row],[weathersit]],"Clear / Few Clouds","Mist / Cloudy","Light Rain / Snow","Heavy Rain / Snow")</f>
        <v>Clear / Few Clouds</v>
      </c>
    </row>
    <row r="684" spans="1:23" x14ac:dyDescent="0.3">
      <c r="A684">
        <v>683</v>
      </c>
      <c r="B684" s="1">
        <v>41226</v>
      </c>
      <c r="C684">
        <v>4</v>
      </c>
      <c r="D684">
        <v>1</v>
      </c>
      <c r="E684">
        <v>11</v>
      </c>
      <c r="F684">
        <v>0</v>
      </c>
      <c r="G684">
        <v>2</v>
      </c>
      <c r="H684">
        <v>1</v>
      </c>
      <c r="I684">
        <v>2</v>
      </c>
      <c r="J684">
        <v>0.343333</v>
      </c>
      <c r="K684">
        <v>0.32322499999999998</v>
      </c>
      <c r="L684">
        <v>0.66291699999999998</v>
      </c>
      <c r="M684">
        <v>0.34204600000000002</v>
      </c>
      <c r="N684">
        <v>327</v>
      </c>
      <c r="O684">
        <v>3767</v>
      </c>
      <c r="P684">
        <v>4094</v>
      </c>
      <c r="Q684" t="str">
        <f>IF(BikeData[[#This Row],[casual]]+BikeData[[#This Row],[registered]]=BikeData[[#This Row],[cnt]],"OK","Check")</f>
        <v>OK</v>
      </c>
      <c r="R684">
        <f>IF(BikeData[[#This Row],[yr]]=0,2011,2012)</f>
        <v>2012</v>
      </c>
      <c r="S684" t="str">
        <f>CHOOSE(BikeData[[#This Row],[season]],"Winter","Spring","Summer","Fall")</f>
        <v>Fall</v>
      </c>
      <c r="T684" t="str">
        <f>TEXT(DATE(2000,BikeData[[#This Row],[mnth]],1),"mmmm")</f>
        <v>November</v>
      </c>
      <c r="U684" t="str">
        <f>IF(BikeData[[#This Row],[workingday]]=1,"Working Day","Non-working Day")</f>
        <v>Working Day</v>
      </c>
      <c r="V684" t="str">
        <f>CHOOSE(BikeData[[#This Row],[weekday]]+1,"Sunday","Monday","Tuesday","Wednesday","Thursday","Friday","Saturday")</f>
        <v>Tuesday</v>
      </c>
      <c r="W684" t="str">
        <f>CHOOSE(BikeData[[#This Row],[weathersit]],"Clear / Few Clouds","Mist / Cloudy","Light Rain / Snow","Heavy Rain / Snow")</f>
        <v>Mist / Cloudy</v>
      </c>
    </row>
    <row r="685" spans="1:23" x14ac:dyDescent="0.3">
      <c r="A685">
        <v>684</v>
      </c>
      <c r="B685" s="1">
        <v>41227</v>
      </c>
      <c r="C685">
        <v>4</v>
      </c>
      <c r="D685">
        <v>1</v>
      </c>
      <c r="E685">
        <v>11</v>
      </c>
      <c r="F685">
        <v>0</v>
      </c>
      <c r="G685">
        <v>3</v>
      </c>
      <c r="H685">
        <v>1</v>
      </c>
      <c r="I685">
        <v>1</v>
      </c>
      <c r="J685">
        <v>0.28916700000000001</v>
      </c>
      <c r="K685">
        <v>0.28156300000000001</v>
      </c>
      <c r="L685">
        <v>0.55208299999999999</v>
      </c>
      <c r="M685">
        <v>0.199625</v>
      </c>
      <c r="N685">
        <v>373</v>
      </c>
      <c r="O685">
        <v>5122</v>
      </c>
      <c r="P685">
        <v>5495</v>
      </c>
      <c r="Q685" t="str">
        <f>IF(BikeData[[#This Row],[casual]]+BikeData[[#This Row],[registered]]=BikeData[[#This Row],[cnt]],"OK","Check")</f>
        <v>OK</v>
      </c>
      <c r="R685">
        <f>IF(BikeData[[#This Row],[yr]]=0,2011,2012)</f>
        <v>2012</v>
      </c>
      <c r="S685" t="str">
        <f>CHOOSE(BikeData[[#This Row],[season]],"Winter","Spring","Summer","Fall")</f>
        <v>Fall</v>
      </c>
      <c r="T685" t="str">
        <f>TEXT(DATE(2000,BikeData[[#This Row],[mnth]],1),"mmmm")</f>
        <v>November</v>
      </c>
      <c r="U685" t="str">
        <f>IF(BikeData[[#This Row],[workingday]]=1,"Working Day","Non-working Day")</f>
        <v>Working Day</v>
      </c>
      <c r="V685" t="str">
        <f>CHOOSE(BikeData[[#This Row],[weekday]]+1,"Sunday","Monday","Tuesday","Wednesday","Thursday","Friday","Saturday")</f>
        <v>Wednesday</v>
      </c>
      <c r="W685" t="str">
        <f>CHOOSE(BikeData[[#This Row],[weathersit]],"Clear / Few Clouds","Mist / Cloudy","Light Rain / Snow","Heavy Rain / Snow")</f>
        <v>Clear / Few Clouds</v>
      </c>
    </row>
    <row r="686" spans="1:23" x14ac:dyDescent="0.3">
      <c r="A686">
        <v>685</v>
      </c>
      <c r="B686" s="1">
        <v>41228</v>
      </c>
      <c r="C686">
        <v>4</v>
      </c>
      <c r="D686">
        <v>1</v>
      </c>
      <c r="E686">
        <v>11</v>
      </c>
      <c r="F686">
        <v>0</v>
      </c>
      <c r="G686">
        <v>4</v>
      </c>
      <c r="H686">
        <v>1</v>
      </c>
      <c r="I686">
        <v>2</v>
      </c>
      <c r="J686">
        <v>0.32166699999999998</v>
      </c>
      <c r="K686">
        <v>0.324492</v>
      </c>
      <c r="L686">
        <v>0.620417</v>
      </c>
      <c r="M686">
        <v>0.15298700000000001</v>
      </c>
      <c r="N686">
        <v>320</v>
      </c>
      <c r="O686">
        <v>5125</v>
      </c>
      <c r="P686">
        <v>5445</v>
      </c>
      <c r="Q686" t="str">
        <f>IF(BikeData[[#This Row],[casual]]+BikeData[[#This Row],[registered]]=BikeData[[#This Row],[cnt]],"OK","Check")</f>
        <v>OK</v>
      </c>
      <c r="R686">
        <f>IF(BikeData[[#This Row],[yr]]=0,2011,2012)</f>
        <v>2012</v>
      </c>
      <c r="S686" t="str">
        <f>CHOOSE(BikeData[[#This Row],[season]],"Winter","Spring","Summer","Fall")</f>
        <v>Fall</v>
      </c>
      <c r="T686" t="str">
        <f>TEXT(DATE(2000,BikeData[[#This Row],[mnth]],1),"mmmm")</f>
        <v>November</v>
      </c>
      <c r="U686" t="str">
        <f>IF(BikeData[[#This Row],[workingday]]=1,"Working Day","Non-working Day")</f>
        <v>Working Day</v>
      </c>
      <c r="V686" t="str">
        <f>CHOOSE(BikeData[[#This Row],[weekday]]+1,"Sunday","Monday","Tuesday","Wednesday","Thursday","Friday","Saturday")</f>
        <v>Thursday</v>
      </c>
      <c r="W686" t="str">
        <f>CHOOSE(BikeData[[#This Row],[weathersit]],"Clear / Few Clouds","Mist / Cloudy","Light Rain / Snow","Heavy Rain / Snow")</f>
        <v>Mist / Cloudy</v>
      </c>
    </row>
    <row r="687" spans="1:23" x14ac:dyDescent="0.3">
      <c r="A687">
        <v>686</v>
      </c>
      <c r="B687" s="1">
        <v>41229</v>
      </c>
      <c r="C687">
        <v>4</v>
      </c>
      <c r="D687">
        <v>1</v>
      </c>
      <c r="E687">
        <v>11</v>
      </c>
      <c r="F687">
        <v>0</v>
      </c>
      <c r="G687">
        <v>5</v>
      </c>
      <c r="H687">
        <v>1</v>
      </c>
      <c r="I687">
        <v>1</v>
      </c>
      <c r="J687">
        <v>0.34499999999999997</v>
      </c>
      <c r="K687">
        <v>0.34720400000000001</v>
      </c>
      <c r="L687">
        <v>0.52458300000000002</v>
      </c>
      <c r="M687">
        <v>0.17102500000000001</v>
      </c>
      <c r="N687">
        <v>484</v>
      </c>
      <c r="O687">
        <v>5214</v>
      </c>
      <c r="P687">
        <v>5698</v>
      </c>
      <c r="Q687" t="str">
        <f>IF(BikeData[[#This Row],[casual]]+BikeData[[#This Row],[registered]]=BikeData[[#This Row],[cnt]],"OK","Check")</f>
        <v>OK</v>
      </c>
      <c r="R687">
        <f>IF(BikeData[[#This Row],[yr]]=0,2011,2012)</f>
        <v>2012</v>
      </c>
      <c r="S687" t="str">
        <f>CHOOSE(BikeData[[#This Row],[season]],"Winter","Spring","Summer","Fall")</f>
        <v>Fall</v>
      </c>
      <c r="T687" t="str">
        <f>TEXT(DATE(2000,BikeData[[#This Row],[mnth]],1),"mmmm")</f>
        <v>November</v>
      </c>
      <c r="U687" t="str">
        <f>IF(BikeData[[#This Row],[workingday]]=1,"Working Day","Non-working Day")</f>
        <v>Working Day</v>
      </c>
      <c r="V687" t="str">
        <f>CHOOSE(BikeData[[#This Row],[weekday]]+1,"Sunday","Monday","Tuesday","Wednesday","Thursday","Friday","Saturday")</f>
        <v>Friday</v>
      </c>
      <c r="W687" t="str">
        <f>CHOOSE(BikeData[[#This Row],[weathersit]],"Clear / Few Clouds","Mist / Cloudy","Light Rain / Snow","Heavy Rain / Snow")</f>
        <v>Clear / Few Clouds</v>
      </c>
    </row>
    <row r="688" spans="1:23" x14ac:dyDescent="0.3">
      <c r="A688">
        <v>687</v>
      </c>
      <c r="B688" s="1">
        <v>41230</v>
      </c>
      <c r="C688">
        <v>4</v>
      </c>
      <c r="D688">
        <v>1</v>
      </c>
      <c r="E688">
        <v>11</v>
      </c>
      <c r="F688">
        <v>0</v>
      </c>
      <c r="G688">
        <v>6</v>
      </c>
      <c r="H688">
        <v>0</v>
      </c>
      <c r="I688">
        <v>1</v>
      </c>
      <c r="J688">
        <v>0.32500000000000001</v>
      </c>
      <c r="K688">
        <v>0.32638299999999998</v>
      </c>
      <c r="L688">
        <v>0.54541700000000004</v>
      </c>
      <c r="M688">
        <v>0.179729</v>
      </c>
      <c r="N688">
        <v>1313</v>
      </c>
      <c r="O688">
        <v>4316</v>
      </c>
      <c r="P688">
        <v>5629</v>
      </c>
      <c r="Q688" t="str">
        <f>IF(BikeData[[#This Row],[casual]]+BikeData[[#This Row],[registered]]=BikeData[[#This Row],[cnt]],"OK","Check")</f>
        <v>OK</v>
      </c>
      <c r="R688">
        <f>IF(BikeData[[#This Row],[yr]]=0,2011,2012)</f>
        <v>2012</v>
      </c>
      <c r="S688" t="str">
        <f>CHOOSE(BikeData[[#This Row],[season]],"Winter","Spring","Summer","Fall")</f>
        <v>Fall</v>
      </c>
      <c r="T688" t="str">
        <f>TEXT(DATE(2000,BikeData[[#This Row],[mnth]],1),"mmmm")</f>
        <v>November</v>
      </c>
      <c r="U688" t="str">
        <f>IF(BikeData[[#This Row],[workingday]]=1,"Working Day","Non-working Day")</f>
        <v>Non-working Day</v>
      </c>
      <c r="V688" t="str">
        <f>CHOOSE(BikeData[[#This Row],[weekday]]+1,"Sunday","Monday","Tuesday","Wednesday","Thursday","Friday","Saturday")</f>
        <v>Saturday</v>
      </c>
      <c r="W688" t="str">
        <f>CHOOSE(BikeData[[#This Row],[weathersit]],"Clear / Few Clouds","Mist / Cloudy","Light Rain / Snow","Heavy Rain / Snow")</f>
        <v>Clear / Few Clouds</v>
      </c>
    </row>
    <row r="689" spans="1:23" x14ac:dyDescent="0.3">
      <c r="A689">
        <v>688</v>
      </c>
      <c r="B689" s="1">
        <v>41231</v>
      </c>
      <c r="C689">
        <v>4</v>
      </c>
      <c r="D689">
        <v>1</v>
      </c>
      <c r="E689">
        <v>11</v>
      </c>
      <c r="F689">
        <v>0</v>
      </c>
      <c r="G689">
        <v>0</v>
      </c>
      <c r="H689">
        <v>0</v>
      </c>
      <c r="I689">
        <v>1</v>
      </c>
      <c r="J689">
        <v>0.34250000000000003</v>
      </c>
      <c r="K689">
        <v>0.33774599999999999</v>
      </c>
      <c r="L689">
        <v>0.69291700000000001</v>
      </c>
      <c r="M689">
        <v>0.22761200000000001</v>
      </c>
      <c r="N689">
        <v>922</v>
      </c>
      <c r="O689">
        <v>3747</v>
      </c>
      <c r="P689">
        <v>4669</v>
      </c>
      <c r="Q689" t="str">
        <f>IF(BikeData[[#This Row],[casual]]+BikeData[[#This Row],[registered]]=BikeData[[#This Row],[cnt]],"OK","Check")</f>
        <v>OK</v>
      </c>
      <c r="R689">
        <f>IF(BikeData[[#This Row],[yr]]=0,2011,2012)</f>
        <v>2012</v>
      </c>
      <c r="S689" t="str">
        <f>CHOOSE(BikeData[[#This Row],[season]],"Winter","Spring","Summer","Fall")</f>
        <v>Fall</v>
      </c>
      <c r="T689" t="str">
        <f>TEXT(DATE(2000,BikeData[[#This Row],[mnth]],1),"mmmm")</f>
        <v>November</v>
      </c>
      <c r="U689" t="str">
        <f>IF(BikeData[[#This Row],[workingday]]=1,"Working Day","Non-working Day")</f>
        <v>Non-working Day</v>
      </c>
      <c r="V689" t="str">
        <f>CHOOSE(BikeData[[#This Row],[weekday]]+1,"Sunday","Monday","Tuesday","Wednesday","Thursday","Friday","Saturday")</f>
        <v>Sunday</v>
      </c>
      <c r="W689" t="str">
        <f>CHOOSE(BikeData[[#This Row],[weathersit]],"Clear / Few Clouds","Mist / Cloudy","Light Rain / Snow","Heavy Rain / Snow")</f>
        <v>Clear / Few Clouds</v>
      </c>
    </row>
    <row r="690" spans="1:23" x14ac:dyDescent="0.3">
      <c r="A690">
        <v>689</v>
      </c>
      <c r="B690" s="1">
        <v>41232</v>
      </c>
      <c r="C690">
        <v>4</v>
      </c>
      <c r="D690">
        <v>1</v>
      </c>
      <c r="E690">
        <v>11</v>
      </c>
      <c r="F690">
        <v>0</v>
      </c>
      <c r="G690">
        <v>1</v>
      </c>
      <c r="H690">
        <v>1</v>
      </c>
      <c r="I690">
        <v>2</v>
      </c>
      <c r="J690">
        <v>0.38083299999999998</v>
      </c>
      <c r="K690">
        <v>0.37562099999999998</v>
      </c>
      <c r="L690">
        <v>0.62333300000000003</v>
      </c>
      <c r="M690">
        <v>0.235067</v>
      </c>
      <c r="N690">
        <v>449</v>
      </c>
      <c r="O690">
        <v>5050</v>
      </c>
      <c r="P690">
        <v>5499</v>
      </c>
      <c r="Q690" t="str">
        <f>IF(BikeData[[#This Row],[casual]]+BikeData[[#This Row],[registered]]=BikeData[[#This Row],[cnt]],"OK","Check")</f>
        <v>OK</v>
      </c>
      <c r="R690">
        <f>IF(BikeData[[#This Row],[yr]]=0,2011,2012)</f>
        <v>2012</v>
      </c>
      <c r="S690" t="str">
        <f>CHOOSE(BikeData[[#This Row],[season]],"Winter","Spring","Summer","Fall")</f>
        <v>Fall</v>
      </c>
      <c r="T690" t="str">
        <f>TEXT(DATE(2000,BikeData[[#This Row],[mnth]],1),"mmmm")</f>
        <v>November</v>
      </c>
      <c r="U690" t="str">
        <f>IF(BikeData[[#This Row],[workingday]]=1,"Working Day","Non-working Day")</f>
        <v>Working Day</v>
      </c>
      <c r="V690" t="str">
        <f>CHOOSE(BikeData[[#This Row],[weekday]]+1,"Sunday","Monday","Tuesday","Wednesday","Thursday","Friday","Saturday")</f>
        <v>Monday</v>
      </c>
      <c r="W690" t="str">
        <f>CHOOSE(BikeData[[#This Row],[weathersit]],"Clear / Few Clouds","Mist / Cloudy","Light Rain / Snow","Heavy Rain / Snow")</f>
        <v>Mist / Cloudy</v>
      </c>
    </row>
    <row r="691" spans="1:23" x14ac:dyDescent="0.3">
      <c r="A691">
        <v>690</v>
      </c>
      <c r="B691" s="1">
        <v>41233</v>
      </c>
      <c r="C691">
        <v>4</v>
      </c>
      <c r="D691">
        <v>1</v>
      </c>
      <c r="E691">
        <v>11</v>
      </c>
      <c r="F691">
        <v>0</v>
      </c>
      <c r="G691">
        <v>2</v>
      </c>
      <c r="H691">
        <v>1</v>
      </c>
      <c r="I691">
        <v>2</v>
      </c>
      <c r="J691">
        <v>0.37416700000000003</v>
      </c>
      <c r="K691">
        <v>0.38066699999999998</v>
      </c>
      <c r="L691">
        <v>0.68500000000000005</v>
      </c>
      <c r="M691">
        <v>8.2725000000000007E-2</v>
      </c>
      <c r="N691">
        <v>534</v>
      </c>
      <c r="O691">
        <v>5100</v>
      </c>
      <c r="P691">
        <v>5634</v>
      </c>
      <c r="Q691" t="str">
        <f>IF(BikeData[[#This Row],[casual]]+BikeData[[#This Row],[registered]]=BikeData[[#This Row],[cnt]],"OK","Check")</f>
        <v>OK</v>
      </c>
      <c r="R691">
        <f>IF(BikeData[[#This Row],[yr]]=0,2011,2012)</f>
        <v>2012</v>
      </c>
      <c r="S691" t="str">
        <f>CHOOSE(BikeData[[#This Row],[season]],"Winter","Spring","Summer","Fall")</f>
        <v>Fall</v>
      </c>
      <c r="T691" t="str">
        <f>TEXT(DATE(2000,BikeData[[#This Row],[mnth]],1),"mmmm")</f>
        <v>November</v>
      </c>
      <c r="U691" t="str">
        <f>IF(BikeData[[#This Row],[workingday]]=1,"Working Day","Non-working Day")</f>
        <v>Working Day</v>
      </c>
      <c r="V691" t="str">
        <f>CHOOSE(BikeData[[#This Row],[weekday]]+1,"Sunday","Monday","Tuesday","Wednesday","Thursday","Friday","Saturday")</f>
        <v>Tuesday</v>
      </c>
      <c r="W691" t="str">
        <f>CHOOSE(BikeData[[#This Row],[weathersit]],"Clear / Few Clouds","Mist / Cloudy","Light Rain / Snow","Heavy Rain / Snow")</f>
        <v>Mist / Cloudy</v>
      </c>
    </row>
    <row r="692" spans="1:23" x14ac:dyDescent="0.3">
      <c r="A692">
        <v>691</v>
      </c>
      <c r="B692" s="1">
        <v>41234</v>
      </c>
      <c r="C692">
        <v>4</v>
      </c>
      <c r="D692">
        <v>1</v>
      </c>
      <c r="E692">
        <v>11</v>
      </c>
      <c r="F692">
        <v>0</v>
      </c>
      <c r="G692">
        <v>3</v>
      </c>
      <c r="H692">
        <v>1</v>
      </c>
      <c r="I692">
        <v>1</v>
      </c>
      <c r="J692">
        <v>0.35333300000000001</v>
      </c>
      <c r="K692">
        <v>0.36489199999999999</v>
      </c>
      <c r="L692">
        <v>0.61375000000000002</v>
      </c>
      <c r="M692">
        <v>0.103246</v>
      </c>
      <c r="N692">
        <v>615</v>
      </c>
      <c r="O692">
        <v>4531</v>
      </c>
      <c r="P692">
        <v>5146</v>
      </c>
      <c r="Q692" t="str">
        <f>IF(BikeData[[#This Row],[casual]]+BikeData[[#This Row],[registered]]=BikeData[[#This Row],[cnt]],"OK","Check")</f>
        <v>OK</v>
      </c>
      <c r="R692">
        <f>IF(BikeData[[#This Row],[yr]]=0,2011,2012)</f>
        <v>2012</v>
      </c>
      <c r="S692" t="str">
        <f>CHOOSE(BikeData[[#This Row],[season]],"Winter","Spring","Summer","Fall")</f>
        <v>Fall</v>
      </c>
      <c r="T692" t="str">
        <f>TEXT(DATE(2000,BikeData[[#This Row],[mnth]],1),"mmmm")</f>
        <v>November</v>
      </c>
      <c r="U692" t="str">
        <f>IF(BikeData[[#This Row],[workingday]]=1,"Working Day","Non-working Day")</f>
        <v>Working Day</v>
      </c>
      <c r="V692" t="str">
        <f>CHOOSE(BikeData[[#This Row],[weekday]]+1,"Sunday","Monday","Tuesday","Wednesday","Thursday","Friday","Saturday")</f>
        <v>Wednesday</v>
      </c>
      <c r="W692" t="str">
        <f>CHOOSE(BikeData[[#This Row],[weathersit]],"Clear / Few Clouds","Mist / Cloudy","Light Rain / Snow","Heavy Rain / Snow")</f>
        <v>Clear / Few Clouds</v>
      </c>
    </row>
    <row r="693" spans="1:23" x14ac:dyDescent="0.3">
      <c r="A693">
        <v>692</v>
      </c>
      <c r="B693" s="1">
        <v>41235</v>
      </c>
      <c r="C693">
        <v>4</v>
      </c>
      <c r="D693">
        <v>1</v>
      </c>
      <c r="E693">
        <v>11</v>
      </c>
      <c r="F693">
        <v>1</v>
      </c>
      <c r="G693">
        <v>4</v>
      </c>
      <c r="H693">
        <v>0</v>
      </c>
      <c r="I693">
        <v>1</v>
      </c>
      <c r="J693">
        <v>0.34</v>
      </c>
      <c r="K693">
        <v>0.35037099999999999</v>
      </c>
      <c r="L693">
        <v>0.58041699999999996</v>
      </c>
      <c r="M693">
        <v>5.2870800000000003E-2</v>
      </c>
      <c r="N693">
        <v>955</v>
      </c>
      <c r="O693">
        <v>1470</v>
      </c>
      <c r="P693">
        <v>2425</v>
      </c>
      <c r="Q693" t="str">
        <f>IF(BikeData[[#This Row],[casual]]+BikeData[[#This Row],[registered]]=BikeData[[#This Row],[cnt]],"OK","Check")</f>
        <v>OK</v>
      </c>
      <c r="R693">
        <f>IF(BikeData[[#This Row],[yr]]=0,2011,2012)</f>
        <v>2012</v>
      </c>
      <c r="S693" t="str">
        <f>CHOOSE(BikeData[[#This Row],[season]],"Winter","Spring","Summer","Fall")</f>
        <v>Fall</v>
      </c>
      <c r="T693" t="str">
        <f>TEXT(DATE(2000,BikeData[[#This Row],[mnth]],1),"mmmm")</f>
        <v>November</v>
      </c>
      <c r="U693" t="str">
        <f>IF(BikeData[[#This Row],[workingday]]=1,"Working Day","Non-working Day")</f>
        <v>Non-working Day</v>
      </c>
      <c r="V693" t="str">
        <f>CHOOSE(BikeData[[#This Row],[weekday]]+1,"Sunday","Monday","Tuesday","Wednesday","Thursday","Friday","Saturday")</f>
        <v>Thursday</v>
      </c>
      <c r="W693" t="str">
        <f>CHOOSE(BikeData[[#This Row],[weathersit]],"Clear / Few Clouds","Mist / Cloudy","Light Rain / Snow","Heavy Rain / Snow")</f>
        <v>Clear / Few Clouds</v>
      </c>
    </row>
    <row r="694" spans="1:23" x14ac:dyDescent="0.3">
      <c r="A694">
        <v>693</v>
      </c>
      <c r="B694" s="1">
        <v>41236</v>
      </c>
      <c r="C694">
        <v>4</v>
      </c>
      <c r="D694">
        <v>1</v>
      </c>
      <c r="E694">
        <v>11</v>
      </c>
      <c r="F694">
        <v>0</v>
      </c>
      <c r="G694">
        <v>5</v>
      </c>
      <c r="H694">
        <v>1</v>
      </c>
      <c r="I694">
        <v>1</v>
      </c>
      <c r="J694">
        <v>0.36833300000000002</v>
      </c>
      <c r="K694">
        <v>0.37877899999999998</v>
      </c>
      <c r="L694">
        <v>0.56874999999999998</v>
      </c>
      <c r="M694">
        <v>0.14802100000000001</v>
      </c>
      <c r="N694">
        <v>1603</v>
      </c>
      <c r="O694">
        <v>2307</v>
      </c>
      <c r="P694">
        <v>3910</v>
      </c>
      <c r="Q694" t="str">
        <f>IF(BikeData[[#This Row],[casual]]+BikeData[[#This Row],[registered]]=BikeData[[#This Row],[cnt]],"OK","Check")</f>
        <v>OK</v>
      </c>
      <c r="R694">
        <f>IF(BikeData[[#This Row],[yr]]=0,2011,2012)</f>
        <v>2012</v>
      </c>
      <c r="S694" t="str">
        <f>CHOOSE(BikeData[[#This Row],[season]],"Winter","Spring","Summer","Fall")</f>
        <v>Fall</v>
      </c>
      <c r="T694" t="str">
        <f>TEXT(DATE(2000,BikeData[[#This Row],[mnth]],1),"mmmm")</f>
        <v>November</v>
      </c>
      <c r="U694" t="str">
        <f>IF(BikeData[[#This Row],[workingday]]=1,"Working Day","Non-working Day")</f>
        <v>Working Day</v>
      </c>
      <c r="V694" t="str">
        <f>CHOOSE(BikeData[[#This Row],[weekday]]+1,"Sunday","Monday","Tuesday","Wednesday","Thursday","Friday","Saturday")</f>
        <v>Friday</v>
      </c>
      <c r="W694" t="str">
        <f>CHOOSE(BikeData[[#This Row],[weathersit]],"Clear / Few Clouds","Mist / Cloudy","Light Rain / Snow","Heavy Rain / Snow")</f>
        <v>Clear / Few Clouds</v>
      </c>
    </row>
    <row r="695" spans="1:23" x14ac:dyDescent="0.3">
      <c r="A695">
        <v>694</v>
      </c>
      <c r="B695" s="1">
        <v>41237</v>
      </c>
      <c r="C695">
        <v>4</v>
      </c>
      <c r="D695">
        <v>1</v>
      </c>
      <c r="E695">
        <v>11</v>
      </c>
      <c r="F695">
        <v>0</v>
      </c>
      <c r="G695">
        <v>6</v>
      </c>
      <c r="H695">
        <v>0</v>
      </c>
      <c r="I695">
        <v>1</v>
      </c>
      <c r="J695">
        <v>0.278333</v>
      </c>
      <c r="K695">
        <v>0.24874199999999999</v>
      </c>
      <c r="L695">
        <v>0.40458300000000003</v>
      </c>
      <c r="M695">
        <v>0.37687100000000001</v>
      </c>
      <c r="N695">
        <v>532</v>
      </c>
      <c r="O695">
        <v>1745</v>
      </c>
      <c r="P695">
        <v>2277</v>
      </c>
      <c r="Q695" t="str">
        <f>IF(BikeData[[#This Row],[casual]]+BikeData[[#This Row],[registered]]=BikeData[[#This Row],[cnt]],"OK","Check")</f>
        <v>OK</v>
      </c>
      <c r="R695">
        <f>IF(BikeData[[#This Row],[yr]]=0,2011,2012)</f>
        <v>2012</v>
      </c>
      <c r="S695" t="str">
        <f>CHOOSE(BikeData[[#This Row],[season]],"Winter","Spring","Summer","Fall")</f>
        <v>Fall</v>
      </c>
      <c r="T695" t="str">
        <f>TEXT(DATE(2000,BikeData[[#This Row],[mnth]],1),"mmmm")</f>
        <v>November</v>
      </c>
      <c r="U695" t="str">
        <f>IF(BikeData[[#This Row],[workingday]]=1,"Working Day","Non-working Day")</f>
        <v>Non-working Day</v>
      </c>
      <c r="V695" t="str">
        <f>CHOOSE(BikeData[[#This Row],[weekday]]+1,"Sunday","Monday","Tuesday","Wednesday","Thursday","Friday","Saturday")</f>
        <v>Saturday</v>
      </c>
      <c r="W695" t="str">
        <f>CHOOSE(BikeData[[#This Row],[weathersit]],"Clear / Few Clouds","Mist / Cloudy","Light Rain / Snow","Heavy Rain / Snow")</f>
        <v>Clear / Few Clouds</v>
      </c>
    </row>
    <row r="696" spans="1:23" x14ac:dyDescent="0.3">
      <c r="A696">
        <v>695</v>
      </c>
      <c r="B696" s="1">
        <v>41238</v>
      </c>
      <c r="C696">
        <v>4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1</v>
      </c>
      <c r="J696">
        <v>0.245833</v>
      </c>
      <c r="K696">
        <v>0.25758300000000001</v>
      </c>
      <c r="L696">
        <v>0.468333</v>
      </c>
      <c r="M696">
        <v>0.15049999999999999</v>
      </c>
      <c r="N696">
        <v>309</v>
      </c>
      <c r="O696">
        <v>2115</v>
      </c>
      <c r="P696">
        <v>2424</v>
      </c>
      <c r="Q696" t="str">
        <f>IF(BikeData[[#This Row],[casual]]+BikeData[[#This Row],[registered]]=BikeData[[#This Row],[cnt]],"OK","Check")</f>
        <v>OK</v>
      </c>
      <c r="R696">
        <f>IF(BikeData[[#This Row],[yr]]=0,2011,2012)</f>
        <v>2012</v>
      </c>
      <c r="S696" t="str">
        <f>CHOOSE(BikeData[[#This Row],[season]],"Winter","Spring","Summer","Fall")</f>
        <v>Fall</v>
      </c>
      <c r="T696" t="str">
        <f>TEXT(DATE(2000,BikeData[[#This Row],[mnth]],1),"mmmm")</f>
        <v>November</v>
      </c>
      <c r="U696" t="str">
        <f>IF(BikeData[[#This Row],[workingday]]=1,"Working Day","Non-working Day")</f>
        <v>Non-working Day</v>
      </c>
      <c r="V696" t="str">
        <f>CHOOSE(BikeData[[#This Row],[weekday]]+1,"Sunday","Monday","Tuesday","Wednesday","Thursday","Friday","Saturday")</f>
        <v>Sunday</v>
      </c>
      <c r="W696" t="str">
        <f>CHOOSE(BikeData[[#This Row],[weathersit]],"Clear / Few Clouds","Mist / Cloudy","Light Rain / Snow","Heavy Rain / Snow")</f>
        <v>Clear / Few Clouds</v>
      </c>
    </row>
    <row r="697" spans="1:23" x14ac:dyDescent="0.3">
      <c r="A697">
        <v>696</v>
      </c>
      <c r="B697" s="1">
        <v>41239</v>
      </c>
      <c r="C697">
        <v>4</v>
      </c>
      <c r="D697">
        <v>1</v>
      </c>
      <c r="E697">
        <v>11</v>
      </c>
      <c r="F697">
        <v>0</v>
      </c>
      <c r="G697">
        <v>1</v>
      </c>
      <c r="H697">
        <v>1</v>
      </c>
      <c r="I697">
        <v>1</v>
      </c>
      <c r="J697">
        <v>0.31333299999999997</v>
      </c>
      <c r="K697">
        <v>0.33900400000000003</v>
      </c>
      <c r="L697">
        <v>0.53541700000000003</v>
      </c>
      <c r="M697">
        <v>4.6649999999999997E-2</v>
      </c>
      <c r="N697">
        <v>337</v>
      </c>
      <c r="O697">
        <v>4750</v>
      </c>
      <c r="P697">
        <v>5087</v>
      </c>
      <c r="Q697" t="str">
        <f>IF(BikeData[[#This Row],[casual]]+BikeData[[#This Row],[registered]]=BikeData[[#This Row],[cnt]],"OK","Check")</f>
        <v>OK</v>
      </c>
      <c r="R697">
        <f>IF(BikeData[[#This Row],[yr]]=0,2011,2012)</f>
        <v>2012</v>
      </c>
      <c r="S697" t="str">
        <f>CHOOSE(BikeData[[#This Row],[season]],"Winter","Spring","Summer","Fall")</f>
        <v>Fall</v>
      </c>
      <c r="T697" t="str">
        <f>TEXT(DATE(2000,BikeData[[#This Row],[mnth]],1),"mmmm")</f>
        <v>November</v>
      </c>
      <c r="U697" t="str">
        <f>IF(BikeData[[#This Row],[workingday]]=1,"Working Day","Non-working Day")</f>
        <v>Working Day</v>
      </c>
      <c r="V697" t="str">
        <f>CHOOSE(BikeData[[#This Row],[weekday]]+1,"Sunday","Monday","Tuesday","Wednesday","Thursday","Friday","Saturday")</f>
        <v>Monday</v>
      </c>
      <c r="W697" t="str">
        <f>CHOOSE(BikeData[[#This Row],[weathersit]],"Clear / Few Clouds","Mist / Cloudy","Light Rain / Snow","Heavy Rain / Snow")</f>
        <v>Clear / Few Clouds</v>
      </c>
    </row>
    <row r="698" spans="1:23" x14ac:dyDescent="0.3">
      <c r="A698">
        <v>697</v>
      </c>
      <c r="B698" s="1">
        <v>41240</v>
      </c>
      <c r="C698">
        <v>4</v>
      </c>
      <c r="D698">
        <v>1</v>
      </c>
      <c r="E698">
        <v>11</v>
      </c>
      <c r="F698">
        <v>0</v>
      </c>
      <c r="G698">
        <v>2</v>
      </c>
      <c r="H698">
        <v>1</v>
      </c>
      <c r="I698">
        <v>2</v>
      </c>
      <c r="J698">
        <v>0.29166700000000001</v>
      </c>
      <c r="K698">
        <v>0.28155799999999997</v>
      </c>
      <c r="L698">
        <v>0.78666700000000001</v>
      </c>
      <c r="M698">
        <v>0.237562</v>
      </c>
      <c r="N698">
        <v>123</v>
      </c>
      <c r="O698">
        <v>3836</v>
      </c>
      <c r="P698">
        <v>3959</v>
      </c>
      <c r="Q698" t="str">
        <f>IF(BikeData[[#This Row],[casual]]+BikeData[[#This Row],[registered]]=BikeData[[#This Row],[cnt]],"OK","Check")</f>
        <v>OK</v>
      </c>
      <c r="R698">
        <f>IF(BikeData[[#This Row],[yr]]=0,2011,2012)</f>
        <v>2012</v>
      </c>
      <c r="S698" t="str">
        <f>CHOOSE(BikeData[[#This Row],[season]],"Winter","Spring","Summer","Fall")</f>
        <v>Fall</v>
      </c>
      <c r="T698" t="str">
        <f>TEXT(DATE(2000,BikeData[[#This Row],[mnth]],1),"mmmm")</f>
        <v>November</v>
      </c>
      <c r="U698" t="str">
        <f>IF(BikeData[[#This Row],[workingday]]=1,"Working Day","Non-working Day")</f>
        <v>Working Day</v>
      </c>
      <c r="V698" t="str">
        <f>CHOOSE(BikeData[[#This Row],[weekday]]+1,"Sunday","Monday","Tuesday","Wednesday","Thursday","Friday","Saturday")</f>
        <v>Tuesday</v>
      </c>
      <c r="W698" t="str">
        <f>CHOOSE(BikeData[[#This Row],[weathersit]],"Clear / Few Clouds","Mist / Cloudy","Light Rain / Snow","Heavy Rain / Snow")</f>
        <v>Mist / Cloudy</v>
      </c>
    </row>
    <row r="699" spans="1:23" x14ac:dyDescent="0.3">
      <c r="A699">
        <v>698</v>
      </c>
      <c r="B699" s="1">
        <v>41241</v>
      </c>
      <c r="C699">
        <v>4</v>
      </c>
      <c r="D699">
        <v>1</v>
      </c>
      <c r="E699">
        <v>11</v>
      </c>
      <c r="F699">
        <v>0</v>
      </c>
      <c r="G699">
        <v>3</v>
      </c>
      <c r="H699">
        <v>1</v>
      </c>
      <c r="I699">
        <v>1</v>
      </c>
      <c r="J699">
        <v>0.29666700000000001</v>
      </c>
      <c r="K699">
        <v>0.28976200000000002</v>
      </c>
      <c r="L699">
        <v>0.50624999999999998</v>
      </c>
      <c r="M699">
        <v>0.21082100000000001</v>
      </c>
      <c r="N699">
        <v>198</v>
      </c>
      <c r="O699">
        <v>5062</v>
      </c>
      <c r="P699">
        <v>5260</v>
      </c>
      <c r="Q699" t="str">
        <f>IF(BikeData[[#This Row],[casual]]+BikeData[[#This Row],[registered]]=BikeData[[#This Row],[cnt]],"OK","Check")</f>
        <v>OK</v>
      </c>
      <c r="R699">
        <f>IF(BikeData[[#This Row],[yr]]=0,2011,2012)</f>
        <v>2012</v>
      </c>
      <c r="S699" t="str">
        <f>CHOOSE(BikeData[[#This Row],[season]],"Winter","Spring","Summer","Fall")</f>
        <v>Fall</v>
      </c>
      <c r="T699" t="str">
        <f>TEXT(DATE(2000,BikeData[[#This Row],[mnth]],1),"mmmm")</f>
        <v>November</v>
      </c>
      <c r="U699" t="str">
        <f>IF(BikeData[[#This Row],[workingday]]=1,"Working Day","Non-working Day")</f>
        <v>Working Day</v>
      </c>
      <c r="V699" t="str">
        <f>CHOOSE(BikeData[[#This Row],[weekday]]+1,"Sunday","Monday","Tuesday","Wednesday","Thursday","Friday","Saturday")</f>
        <v>Wednesday</v>
      </c>
      <c r="W699" t="str">
        <f>CHOOSE(BikeData[[#This Row],[weathersit]],"Clear / Few Clouds","Mist / Cloudy","Light Rain / Snow","Heavy Rain / Snow")</f>
        <v>Clear / Few Clouds</v>
      </c>
    </row>
    <row r="700" spans="1:23" x14ac:dyDescent="0.3">
      <c r="A700">
        <v>699</v>
      </c>
      <c r="B700" s="1">
        <v>41242</v>
      </c>
      <c r="C700">
        <v>4</v>
      </c>
      <c r="D700">
        <v>1</v>
      </c>
      <c r="E700">
        <v>11</v>
      </c>
      <c r="F700">
        <v>0</v>
      </c>
      <c r="G700">
        <v>4</v>
      </c>
      <c r="H700">
        <v>1</v>
      </c>
      <c r="I700">
        <v>1</v>
      </c>
      <c r="J700">
        <v>0.28087000000000001</v>
      </c>
      <c r="K700">
        <v>0.29842200000000002</v>
      </c>
      <c r="L700">
        <v>0.55565200000000003</v>
      </c>
      <c r="M700">
        <v>0.115522</v>
      </c>
      <c r="N700">
        <v>243</v>
      </c>
      <c r="O700">
        <v>5080</v>
      </c>
      <c r="P700">
        <v>5323</v>
      </c>
      <c r="Q700" t="str">
        <f>IF(BikeData[[#This Row],[casual]]+BikeData[[#This Row],[registered]]=BikeData[[#This Row],[cnt]],"OK","Check")</f>
        <v>OK</v>
      </c>
      <c r="R700">
        <f>IF(BikeData[[#This Row],[yr]]=0,2011,2012)</f>
        <v>2012</v>
      </c>
      <c r="S700" t="str">
        <f>CHOOSE(BikeData[[#This Row],[season]],"Winter","Spring","Summer","Fall")</f>
        <v>Fall</v>
      </c>
      <c r="T700" t="str">
        <f>TEXT(DATE(2000,BikeData[[#This Row],[mnth]],1),"mmmm")</f>
        <v>November</v>
      </c>
      <c r="U700" t="str">
        <f>IF(BikeData[[#This Row],[workingday]]=1,"Working Day","Non-working Day")</f>
        <v>Working Day</v>
      </c>
      <c r="V700" t="str">
        <f>CHOOSE(BikeData[[#This Row],[weekday]]+1,"Sunday","Monday","Tuesday","Wednesday","Thursday","Friday","Saturday")</f>
        <v>Thursday</v>
      </c>
      <c r="W700" t="str">
        <f>CHOOSE(BikeData[[#This Row],[weathersit]],"Clear / Few Clouds","Mist / Cloudy","Light Rain / Snow","Heavy Rain / Snow")</f>
        <v>Clear / Few Clouds</v>
      </c>
    </row>
    <row r="701" spans="1:23" x14ac:dyDescent="0.3">
      <c r="A701">
        <v>700</v>
      </c>
      <c r="B701" s="1">
        <v>41243</v>
      </c>
      <c r="C701">
        <v>4</v>
      </c>
      <c r="D701">
        <v>1</v>
      </c>
      <c r="E701">
        <v>11</v>
      </c>
      <c r="F701">
        <v>0</v>
      </c>
      <c r="G701">
        <v>5</v>
      </c>
      <c r="H701">
        <v>1</v>
      </c>
      <c r="I701">
        <v>1</v>
      </c>
      <c r="J701">
        <v>0.29833300000000001</v>
      </c>
      <c r="K701">
        <v>0.32386700000000002</v>
      </c>
      <c r="L701">
        <v>0.64958300000000002</v>
      </c>
      <c r="M701">
        <v>5.8470800000000003E-2</v>
      </c>
      <c r="N701">
        <v>362</v>
      </c>
      <c r="O701">
        <v>5306</v>
      </c>
      <c r="P701">
        <v>5668</v>
      </c>
      <c r="Q701" t="str">
        <f>IF(BikeData[[#This Row],[casual]]+BikeData[[#This Row],[registered]]=BikeData[[#This Row],[cnt]],"OK","Check")</f>
        <v>OK</v>
      </c>
      <c r="R701">
        <f>IF(BikeData[[#This Row],[yr]]=0,2011,2012)</f>
        <v>2012</v>
      </c>
      <c r="S701" t="str">
        <f>CHOOSE(BikeData[[#This Row],[season]],"Winter","Spring","Summer","Fall")</f>
        <v>Fall</v>
      </c>
      <c r="T701" t="str">
        <f>TEXT(DATE(2000,BikeData[[#This Row],[mnth]],1),"mmmm")</f>
        <v>November</v>
      </c>
      <c r="U701" t="str">
        <f>IF(BikeData[[#This Row],[workingday]]=1,"Working Day","Non-working Day")</f>
        <v>Working Day</v>
      </c>
      <c r="V701" t="str">
        <f>CHOOSE(BikeData[[#This Row],[weekday]]+1,"Sunday","Monday","Tuesday","Wednesday","Thursday","Friday","Saturday")</f>
        <v>Friday</v>
      </c>
      <c r="W701" t="str">
        <f>CHOOSE(BikeData[[#This Row],[weathersit]],"Clear / Few Clouds","Mist / Cloudy","Light Rain / Snow","Heavy Rain / Snow")</f>
        <v>Clear / Few Clouds</v>
      </c>
    </row>
    <row r="702" spans="1:23" x14ac:dyDescent="0.3">
      <c r="A702">
        <v>701</v>
      </c>
      <c r="B702" s="1">
        <v>41244</v>
      </c>
      <c r="C702">
        <v>4</v>
      </c>
      <c r="D702">
        <v>1</v>
      </c>
      <c r="E702">
        <v>12</v>
      </c>
      <c r="F702">
        <v>0</v>
      </c>
      <c r="G702">
        <v>6</v>
      </c>
      <c r="H702">
        <v>0</v>
      </c>
      <c r="I702">
        <v>2</v>
      </c>
      <c r="J702">
        <v>0.29833300000000001</v>
      </c>
      <c r="K702">
        <v>0.31690400000000002</v>
      </c>
      <c r="L702">
        <v>0.80666700000000002</v>
      </c>
      <c r="M702">
        <v>5.9704199999999999E-2</v>
      </c>
      <c r="N702">
        <v>951</v>
      </c>
      <c r="O702">
        <v>4240</v>
      </c>
      <c r="P702">
        <v>5191</v>
      </c>
      <c r="Q702" t="str">
        <f>IF(BikeData[[#This Row],[casual]]+BikeData[[#This Row],[registered]]=BikeData[[#This Row],[cnt]],"OK","Check")</f>
        <v>OK</v>
      </c>
      <c r="R702">
        <f>IF(BikeData[[#This Row],[yr]]=0,2011,2012)</f>
        <v>2012</v>
      </c>
      <c r="S702" t="str">
        <f>CHOOSE(BikeData[[#This Row],[season]],"Winter","Spring","Summer","Fall")</f>
        <v>Fall</v>
      </c>
      <c r="T702" t="str">
        <f>TEXT(DATE(2000,BikeData[[#This Row],[mnth]],1),"mmmm")</f>
        <v>December</v>
      </c>
      <c r="U702" t="str">
        <f>IF(BikeData[[#This Row],[workingday]]=1,"Working Day","Non-working Day")</f>
        <v>Non-working Day</v>
      </c>
      <c r="V702" t="str">
        <f>CHOOSE(BikeData[[#This Row],[weekday]]+1,"Sunday","Monday","Tuesday","Wednesday","Thursday","Friday","Saturday")</f>
        <v>Saturday</v>
      </c>
      <c r="W702" t="str">
        <f>CHOOSE(BikeData[[#This Row],[weathersit]],"Clear / Few Clouds","Mist / Cloudy","Light Rain / Snow","Heavy Rain / Snow")</f>
        <v>Mist / Cloudy</v>
      </c>
    </row>
    <row r="703" spans="1:23" x14ac:dyDescent="0.3">
      <c r="A703">
        <v>702</v>
      </c>
      <c r="B703" s="1">
        <v>41245</v>
      </c>
      <c r="C703">
        <v>4</v>
      </c>
      <c r="D703">
        <v>1</v>
      </c>
      <c r="E703">
        <v>12</v>
      </c>
      <c r="F703">
        <v>0</v>
      </c>
      <c r="G703">
        <v>0</v>
      </c>
      <c r="H703">
        <v>0</v>
      </c>
      <c r="I703">
        <v>2</v>
      </c>
      <c r="J703">
        <v>0.34749999999999998</v>
      </c>
      <c r="K703">
        <v>0.35920800000000003</v>
      </c>
      <c r="L703">
        <v>0.82333299999999998</v>
      </c>
      <c r="M703">
        <v>0.124379</v>
      </c>
      <c r="N703">
        <v>892</v>
      </c>
      <c r="O703">
        <v>3757</v>
      </c>
      <c r="P703">
        <v>4649</v>
      </c>
      <c r="Q703" t="str">
        <f>IF(BikeData[[#This Row],[casual]]+BikeData[[#This Row],[registered]]=BikeData[[#This Row],[cnt]],"OK","Check")</f>
        <v>OK</v>
      </c>
      <c r="R703">
        <f>IF(BikeData[[#This Row],[yr]]=0,2011,2012)</f>
        <v>2012</v>
      </c>
      <c r="S703" t="str">
        <f>CHOOSE(BikeData[[#This Row],[season]],"Winter","Spring","Summer","Fall")</f>
        <v>Fall</v>
      </c>
      <c r="T703" t="str">
        <f>TEXT(DATE(2000,BikeData[[#This Row],[mnth]],1),"mmmm")</f>
        <v>December</v>
      </c>
      <c r="U703" t="str">
        <f>IF(BikeData[[#This Row],[workingday]]=1,"Working Day","Non-working Day")</f>
        <v>Non-working Day</v>
      </c>
      <c r="V703" t="str">
        <f>CHOOSE(BikeData[[#This Row],[weekday]]+1,"Sunday","Monday","Tuesday","Wednesday","Thursday","Friday","Saturday")</f>
        <v>Sunday</v>
      </c>
      <c r="W703" t="str">
        <f>CHOOSE(BikeData[[#This Row],[weathersit]],"Clear / Few Clouds","Mist / Cloudy","Light Rain / Snow","Heavy Rain / Snow")</f>
        <v>Mist / Cloudy</v>
      </c>
    </row>
    <row r="704" spans="1:23" x14ac:dyDescent="0.3">
      <c r="A704">
        <v>703</v>
      </c>
      <c r="B704" s="1">
        <v>41246</v>
      </c>
      <c r="C704">
        <v>4</v>
      </c>
      <c r="D704">
        <v>1</v>
      </c>
      <c r="E704">
        <v>12</v>
      </c>
      <c r="F704">
        <v>0</v>
      </c>
      <c r="G704">
        <v>1</v>
      </c>
      <c r="H704">
        <v>1</v>
      </c>
      <c r="I704">
        <v>1</v>
      </c>
      <c r="J704">
        <v>0.45250000000000001</v>
      </c>
      <c r="K704">
        <v>0.45579599999999998</v>
      </c>
      <c r="L704">
        <v>0.76749999999999996</v>
      </c>
      <c r="M704">
        <v>8.2720799999999997E-2</v>
      </c>
      <c r="N704">
        <v>555</v>
      </c>
      <c r="O704">
        <v>5679</v>
      </c>
      <c r="P704">
        <v>6234</v>
      </c>
      <c r="Q704" t="str">
        <f>IF(BikeData[[#This Row],[casual]]+BikeData[[#This Row],[registered]]=BikeData[[#This Row],[cnt]],"OK","Check")</f>
        <v>OK</v>
      </c>
      <c r="R704">
        <f>IF(BikeData[[#This Row],[yr]]=0,2011,2012)</f>
        <v>2012</v>
      </c>
      <c r="S704" t="str">
        <f>CHOOSE(BikeData[[#This Row],[season]],"Winter","Spring","Summer","Fall")</f>
        <v>Fall</v>
      </c>
      <c r="T704" t="str">
        <f>TEXT(DATE(2000,BikeData[[#This Row],[mnth]],1),"mmmm")</f>
        <v>December</v>
      </c>
      <c r="U704" t="str">
        <f>IF(BikeData[[#This Row],[workingday]]=1,"Working Day","Non-working Day")</f>
        <v>Working Day</v>
      </c>
      <c r="V704" t="str">
        <f>CHOOSE(BikeData[[#This Row],[weekday]]+1,"Sunday","Monday","Tuesday","Wednesday","Thursday","Friday","Saturday")</f>
        <v>Monday</v>
      </c>
      <c r="W704" t="str">
        <f>CHOOSE(BikeData[[#This Row],[weathersit]],"Clear / Few Clouds","Mist / Cloudy","Light Rain / Snow","Heavy Rain / Snow")</f>
        <v>Clear / Few Clouds</v>
      </c>
    </row>
    <row r="705" spans="1:23" x14ac:dyDescent="0.3">
      <c r="A705">
        <v>704</v>
      </c>
      <c r="B705" s="1">
        <v>41247</v>
      </c>
      <c r="C705">
        <v>4</v>
      </c>
      <c r="D705">
        <v>1</v>
      </c>
      <c r="E705">
        <v>12</v>
      </c>
      <c r="F705">
        <v>0</v>
      </c>
      <c r="G705">
        <v>2</v>
      </c>
      <c r="H705">
        <v>1</v>
      </c>
      <c r="I705">
        <v>1</v>
      </c>
      <c r="J705">
        <v>0.47583300000000001</v>
      </c>
      <c r="K705">
        <v>0.46905400000000003</v>
      </c>
      <c r="L705">
        <v>0.73375000000000001</v>
      </c>
      <c r="M705">
        <v>0.17412900000000001</v>
      </c>
      <c r="N705">
        <v>551</v>
      </c>
      <c r="O705">
        <v>6055</v>
      </c>
      <c r="P705">
        <v>6606</v>
      </c>
      <c r="Q705" t="str">
        <f>IF(BikeData[[#This Row],[casual]]+BikeData[[#This Row],[registered]]=BikeData[[#This Row],[cnt]],"OK","Check")</f>
        <v>OK</v>
      </c>
      <c r="R705">
        <f>IF(BikeData[[#This Row],[yr]]=0,2011,2012)</f>
        <v>2012</v>
      </c>
      <c r="S705" t="str">
        <f>CHOOSE(BikeData[[#This Row],[season]],"Winter","Spring","Summer","Fall")</f>
        <v>Fall</v>
      </c>
      <c r="T705" t="str">
        <f>TEXT(DATE(2000,BikeData[[#This Row],[mnth]],1),"mmmm")</f>
        <v>December</v>
      </c>
      <c r="U705" t="str">
        <f>IF(BikeData[[#This Row],[workingday]]=1,"Working Day","Non-working Day")</f>
        <v>Working Day</v>
      </c>
      <c r="V705" t="str">
        <f>CHOOSE(BikeData[[#This Row],[weekday]]+1,"Sunday","Monday","Tuesday","Wednesday","Thursday","Friday","Saturday")</f>
        <v>Tuesday</v>
      </c>
      <c r="W705" t="str">
        <f>CHOOSE(BikeData[[#This Row],[weathersit]],"Clear / Few Clouds","Mist / Cloudy","Light Rain / Snow","Heavy Rain / Snow")</f>
        <v>Clear / Few Clouds</v>
      </c>
    </row>
    <row r="706" spans="1:23" x14ac:dyDescent="0.3">
      <c r="A706">
        <v>705</v>
      </c>
      <c r="B706" s="1">
        <v>41248</v>
      </c>
      <c r="C706">
        <v>4</v>
      </c>
      <c r="D706">
        <v>1</v>
      </c>
      <c r="E706">
        <v>12</v>
      </c>
      <c r="F706">
        <v>0</v>
      </c>
      <c r="G706">
        <v>3</v>
      </c>
      <c r="H706">
        <v>1</v>
      </c>
      <c r="I706">
        <v>1</v>
      </c>
      <c r="J706">
        <v>0.43833299999999997</v>
      </c>
      <c r="K706">
        <v>0.428012</v>
      </c>
      <c r="L706">
        <v>0.48499999999999999</v>
      </c>
      <c r="M706">
        <v>0.324021</v>
      </c>
      <c r="N706">
        <v>331</v>
      </c>
      <c r="O706">
        <v>5398</v>
      </c>
      <c r="P706">
        <v>5729</v>
      </c>
      <c r="Q706" t="str">
        <f>IF(BikeData[[#This Row],[casual]]+BikeData[[#This Row],[registered]]=BikeData[[#This Row],[cnt]],"OK","Check")</f>
        <v>OK</v>
      </c>
      <c r="R706">
        <f>IF(BikeData[[#This Row],[yr]]=0,2011,2012)</f>
        <v>2012</v>
      </c>
      <c r="S706" t="str">
        <f>CHOOSE(BikeData[[#This Row],[season]],"Winter","Spring","Summer","Fall")</f>
        <v>Fall</v>
      </c>
      <c r="T706" t="str">
        <f>TEXT(DATE(2000,BikeData[[#This Row],[mnth]],1),"mmmm")</f>
        <v>December</v>
      </c>
      <c r="U706" t="str">
        <f>IF(BikeData[[#This Row],[workingday]]=1,"Working Day","Non-working Day")</f>
        <v>Working Day</v>
      </c>
      <c r="V706" t="str">
        <f>CHOOSE(BikeData[[#This Row],[weekday]]+1,"Sunday","Monday","Tuesday","Wednesday","Thursday","Friday","Saturday")</f>
        <v>Wednesday</v>
      </c>
      <c r="W706" t="str">
        <f>CHOOSE(BikeData[[#This Row],[weathersit]],"Clear / Few Clouds","Mist / Cloudy","Light Rain / Snow","Heavy Rain / Snow")</f>
        <v>Clear / Few Clouds</v>
      </c>
    </row>
    <row r="707" spans="1:23" x14ac:dyDescent="0.3">
      <c r="A707">
        <v>706</v>
      </c>
      <c r="B707" s="1">
        <v>41249</v>
      </c>
      <c r="C707">
        <v>4</v>
      </c>
      <c r="D707">
        <v>1</v>
      </c>
      <c r="E707">
        <v>12</v>
      </c>
      <c r="F707">
        <v>0</v>
      </c>
      <c r="G707">
        <v>4</v>
      </c>
      <c r="H707">
        <v>1</v>
      </c>
      <c r="I707">
        <v>1</v>
      </c>
      <c r="J707">
        <v>0.25583299999999998</v>
      </c>
      <c r="K707">
        <v>0.25820399999999999</v>
      </c>
      <c r="L707">
        <v>0.50875000000000004</v>
      </c>
      <c r="M707">
        <v>0.17475399999999999</v>
      </c>
      <c r="N707">
        <v>340</v>
      </c>
      <c r="O707">
        <v>5035</v>
      </c>
      <c r="P707">
        <v>5375</v>
      </c>
      <c r="Q707" t="str">
        <f>IF(BikeData[[#This Row],[casual]]+BikeData[[#This Row],[registered]]=BikeData[[#This Row],[cnt]],"OK","Check")</f>
        <v>OK</v>
      </c>
      <c r="R707">
        <f>IF(BikeData[[#This Row],[yr]]=0,2011,2012)</f>
        <v>2012</v>
      </c>
      <c r="S707" t="str">
        <f>CHOOSE(BikeData[[#This Row],[season]],"Winter","Spring","Summer","Fall")</f>
        <v>Fall</v>
      </c>
      <c r="T707" t="str">
        <f>TEXT(DATE(2000,BikeData[[#This Row],[mnth]],1),"mmmm")</f>
        <v>December</v>
      </c>
      <c r="U707" t="str">
        <f>IF(BikeData[[#This Row],[workingday]]=1,"Working Day","Non-working Day")</f>
        <v>Working Day</v>
      </c>
      <c r="V707" t="str">
        <f>CHOOSE(BikeData[[#This Row],[weekday]]+1,"Sunday","Monday","Tuesday","Wednesday","Thursday","Friday","Saturday")</f>
        <v>Thursday</v>
      </c>
      <c r="W707" t="str">
        <f>CHOOSE(BikeData[[#This Row],[weathersit]],"Clear / Few Clouds","Mist / Cloudy","Light Rain / Snow","Heavy Rain / Snow")</f>
        <v>Clear / Few Clouds</v>
      </c>
    </row>
    <row r="708" spans="1:23" x14ac:dyDescent="0.3">
      <c r="A708">
        <v>707</v>
      </c>
      <c r="B708" s="1">
        <v>41250</v>
      </c>
      <c r="C708">
        <v>4</v>
      </c>
      <c r="D708">
        <v>1</v>
      </c>
      <c r="E708">
        <v>12</v>
      </c>
      <c r="F708">
        <v>0</v>
      </c>
      <c r="G708">
        <v>5</v>
      </c>
      <c r="H708">
        <v>1</v>
      </c>
      <c r="I708">
        <v>2</v>
      </c>
      <c r="J708">
        <v>0.32083299999999998</v>
      </c>
      <c r="K708">
        <v>0.32195800000000002</v>
      </c>
      <c r="L708">
        <v>0.76416700000000004</v>
      </c>
      <c r="M708">
        <v>0.13059999999999999</v>
      </c>
      <c r="N708">
        <v>349</v>
      </c>
      <c r="O708">
        <v>4659</v>
      </c>
      <c r="P708">
        <v>5008</v>
      </c>
      <c r="Q708" t="str">
        <f>IF(BikeData[[#This Row],[casual]]+BikeData[[#This Row],[registered]]=BikeData[[#This Row],[cnt]],"OK","Check")</f>
        <v>OK</v>
      </c>
      <c r="R708">
        <f>IF(BikeData[[#This Row],[yr]]=0,2011,2012)</f>
        <v>2012</v>
      </c>
      <c r="S708" t="str">
        <f>CHOOSE(BikeData[[#This Row],[season]],"Winter","Spring","Summer","Fall")</f>
        <v>Fall</v>
      </c>
      <c r="T708" t="str">
        <f>TEXT(DATE(2000,BikeData[[#This Row],[mnth]],1),"mmmm")</f>
        <v>December</v>
      </c>
      <c r="U708" t="str">
        <f>IF(BikeData[[#This Row],[workingday]]=1,"Working Day","Non-working Day")</f>
        <v>Working Day</v>
      </c>
      <c r="V708" t="str">
        <f>CHOOSE(BikeData[[#This Row],[weekday]]+1,"Sunday","Monday","Tuesday","Wednesday","Thursday","Friday","Saturday")</f>
        <v>Friday</v>
      </c>
      <c r="W708" t="str">
        <f>CHOOSE(BikeData[[#This Row],[weathersit]],"Clear / Few Clouds","Mist / Cloudy","Light Rain / Snow","Heavy Rain / Snow")</f>
        <v>Mist / Cloudy</v>
      </c>
    </row>
    <row r="709" spans="1:23" x14ac:dyDescent="0.3">
      <c r="A709">
        <v>708</v>
      </c>
      <c r="B709" s="1">
        <v>41251</v>
      </c>
      <c r="C709">
        <v>4</v>
      </c>
      <c r="D709">
        <v>1</v>
      </c>
      <c r="E709">
        <v>12</v>
      </c>
      <c r="F709">
        <v>0</v>
      </c>
      <c r="G709">
        <v>6</v>
      </c>
      <c r="H709">
        <v>0</v>
      </c>
      <c r="I709">
        <v>2</v>
      </c>
      <c r="J709">
        <v>0.38166699999999998</v>
      </c>
      <c r="K709">
        <v>0.38950800000000002</v>
      </c>
      <c r="L709">
        <v>0.91125</v>
      </c>
      <c r="M709">
        <v>0.101379</v>
      </c>
      <c r="N709">
        <v>1153</v>
      </c>
      <c r="O709">
        <v>4429</v>
      </c>
      <c r="P709">
        <v>5582</v>
      </c>
      <c r="Q709" t="str">
        <f>IF(BikeData[[#This Row],[casual]]+BikeData[[#This Row],[registered]]=BikeData[[#This Row],[cnt]],"OK","Check")</f>
        <v>OK</v>
      </c>
      <c r="R709">
        <f>IF(BikeData[[#This Row],[yr]]=0,2011,2012)</f>
        <v>2012</v>
      </c>
      <c r="S709" t="str">
        <f>CHOOSE(BikeData[[#This Row],[season]],"Winter","Spring","Summer","Fall")</f>
        <v>Fall</v>
      </c>
      <c r="T709" t="str">
        <f>TEXT(DATE(2000,BikeData[[#This Row],[mnth]],1),"mmmm")</f>
        <v>December</v>
      </c>
      <c r="U709" t="str">
        <f>IF(BikeData[[#This Row],[workingday]]=1,"Working Day","Non-working Day")</f>
        <v>Non-working Day</v>
      </c>
      <c r="V709" t="str">
        <f>CHOOSE(BikeData[[#This Row],[weekday]]+1,"Sunday","Monday","Tuesday","Wednesday","Thursday","Friday","Saturday")</f>
        <v>Saturday</v>
      </c>
      <c r="W709" t="str">
        <f>CHOOSE(BikeData[[#This Row],[weathersit]],"Clear / Few Clouds","Mist / Cloudy","Light Rain / Snow","Heavy Rain / Snow")</f>
        <v>Mist / Cloudy</v>
      </c>
    </row>
    <row r="710" spans="1:23" x14ac:dyDescent="0.3">
      <c r="A710">
        <v>709</v>
      </c>
      <c r="B710" s="1">
        <v>41252</v>
      </c>
      <c r="C710">
        <v>4</v>
      </c>
      <c r="D710">
        <v>1</v>
      </c>
      <c r="E710">
        <v>12</v>
      </c>
      <c r="F710">
        <v>0</v>
      </c>
      <c r="G710">
        <v>0</v>
      </c>
      <c r="H710">
        <v>0</v>
      </c>
      <c r="I710">
        <v>2</v>
      </c>
      <c r="J710">
        <v>0.38416699999999998</v>
      </c>
      <c r="K710">
        <v>0.39014599999999999</v>
      </c>
      <c r="L710">
        <v>0.90541700000000003</v>
      </c>
      <c r="M710">
        <v>0.157975</v>
      </c>
      <c r="N710">
        <v>441</v>
      </c>
      <c r="O710">
        <v>2787</v>
      </c>
      <c r="P710">
        <v>3228</v>
      </c>
      <c r="Q710" t="str">
        <f>IF(BikeData[[#This Row],[casual]]+BikeData[[#This Row],[registered]]=BikeData[[#This Row],[cnt]],"OK","Check")</f>
        <v>OK</v>
      </c>
      <c r="R710">
        <f>IF(BikeData[[#This Row],[yr]]=0,2011,2012)</f>
        <v>2012</v>
      </c>
      <c r="S710" t="str">
        <f>CHOOSE(BikeData[[#This Row],[season]],"Winter","Spring","Summer","Fall")</f>
        <v>Fall</v>
      </c>
      <c r="T710" t="str">
        <f>TEXT(DATE(2000,BikeData[[#This Row],[mnth]],1),"mmmm")</f>
        <v>December</v>
      </c>
      <c r="U710" t="str">
        <f>IF(BikeData[[#This Row],[workingday]]=1,"Working Day","Non-working Day")</f>
        <v>Non-working Day</v>
      </c>
      <c r="V710" t="str">
        <f>CHOOSE(BikeData[[#This Row],[weekday]]+1,"Sunday","Monday","Tuesday","Wednesday","Thursday","Friday","Saturday")</f>
        <v>Sunday</v>
      </c>
      <c r="W710" t="str">
        <f>CHOOSE(BikeData[[#This Row],[weathersit]],"Clear / Few Clouds","Mist / Cloudy","Light Rain / Snow","Heavy Rain / Snow")</f>
        <v>Mist / Cloudy</v>
      </c>
    </row>
    <row r="711" spans="1:23" x14ac:dyDescent="0.3">
      <c r="A711">
        <v>710</v>
      </c>
      <c r="B711" s="1">
        <v>41253</v>
      </c>
      <c r="C711">
        <v>4</v>
      </c>
      <c r="D711">
        <v>1</v>
      </c>
      <c r="E711">
        <v>12</v>
      </c>
      <c r="F711">
        <v>0</v>
      </c>
      <c r="G711">
        <v>1</v>
      </c>
      <c r="H711">
        <v>1</v>
      </c>
      <c r="I711">
        <v>2</v>
      </c>
      <c r="J711">
        <v>0.43583300000000003</v>
      </c>
      <c r="K711">
        <v>0.43557499999999999</v>
      </c>
      <c r="L711">
        <v>0.92500000000000004</v>
      </c>
      <c r="M711">
        <v>0.190308</v>
      </c>
      <c r="N711">
        <v>329</v>
      </c>
      <c r="O711">
        <v>4841</v>
      </c>
      <c r="P711">
        <v>5170</v>
      </c>
      <c r="Q711" t="str">
        <f>IF(BikeData[[#This Row],[casual]]+BikeData[[#This Row],[registered]]=BikeData[[#This Row],[cnt]],"OK","Check")</f>
        <v>OK</v>
      </c>
      <c r="R711">
        <f>IF(BikeData[[#This Row],[yr]]=0,2011,2012)</f>
        <v>2012</v>
      </c>
      <c r="S711" t="str">
        <f>CHOOSE(BikeData[[#This Row],[season]],"Winter","Spring","Summer","Fall")</f>
        <v>Fall</v>
      </c>
      <c r="T711" t="str">
        <f>TEXT(DATE(2000,BikeData[[#This Row],[mnth]],1),"mmmm")</f>
        <v>December</v>
      </c>
      <c r="U711" t="str">
        <f>IF(BikeData[[#This Row],[workingday]]=1,"Working Day","Non-working Day")</f>
        <v>Working Day</v>
      </c>
      <c r="V711" t="str">
        <f>CHOOSE(BikeData[[#This Row],[weekday]]+1,"Sunday","Monday","Tuesday","Wednesday","Thursday","Friday","Saturday")</f>
        <v>Monday</v>
      </c>
      <c r="W711" t="str">
        <f>CHOOSE(BikeData[[#This Row],[weathersit]],"Clear / Few Clouds","Mist / Cloudy","Light Rain / Snow","Heavy Rain / Snow")</f>
        <v>Mist / Cloudy</v>
      </c>
    </row>
    <row r="712" spans="1:23" x14ac:dyDescent="0.3">
      <c r="A712">
        <v>711</v>
      </c>
      <c r="B712" s="1">
        <v>41254</v>
      </c>
      <c r="C712">
        <v>4</v>
      </c>
      <c r="D712">
        <v>1</v>
      </c>
      <c r="E712">
        <v>12</v>
      </c>
      <c r="F712">
        <v>0</v>
      </c>
      <c r="G712">
        <v>2</v>
      </c>
      <c r="H712">
        <v>1</v>
      </c>
      <c r="I712">
        <v>2</v>
      </c>
      <c r="J712">
        <v>0.35333300000000001</v>
      </c>
      <c r="K712">
        <v>0.33836300000000002</v>
      </c>
      <c r="L712">
        <v>0.59666699999999995</v>
      </c>
      <c r="M712">
        <v>0.29603699999999999</v>
      </c>
      <c r="N712">
        <v>282</v>
      </c>
      <c r="O712">
        <v>5219</v>
      </c>
      <c r="P712">
        <v>5501</v>
      </c>
      <c r="Q712" t="str">
        <f>IF(BikeData[[#This Row],[casual]]+BikeData[[#This Row],[registered]]=BikeData[[#This Row],[cnt]],"OK","Check")</f>
        <v>OK</v>
      </c>
      <c r="R712">
        <f>IF(BikeData[[#This Row],[yr]]=0,2011,2012)</f>
        <v>2012</v>
      </c>
      <c r="S712" t="str">
        <f>CHOOSE(BikeData[[#This Row],[season]],"Winter","Spring","Summer","Fall")</f>
        <v>Fall</v>
      </c>
      <c r="T712" t="str">
        <f>TEXT(DATE(2000,BikeData[[#This Row],[mnth]],1),"mmmm")</f>
        <v>December</v>
      </c>
      <c r="U712" t="str">
        <f>IF(BikeData[[#This Row],[workingday]]=1,"Working Day","Non-working Day")</f>
        <v>Working Day</v>
      </c>
      <c r="V712" t="str">
        <f>CHOOSE(BikeData[[#This Row],[weekday]]+1,"Sunday","Monday","Tuesday","Wednesday","Thursday","Friday","Saturday")</f>
        <v>Tuesday</v>
      </c>
      <c r="W712" t="str">
        <f>CHOOSE(BikeData[[#This Row],[weathersit]],"Clear / Few Clouds","Mist / Cloudy","Light Rain / Snow","Heavy Rain / Snow")</f>
        <v>Mist / Cloudy</v>
      </c>
    </row>
    <row r="713" spans="1:23" x14ac:dyDescent="0.3">
      <c r="A713">
        <v>712</v>
      </c>
      <c r="B713" s="1">
        <v>41255</v>
      </c>
      <c r="C713">
        <v>4</v>
      </c>
      <c r="D713">
        <v>1</v>
      </c>
      <c r="E713">
        <v>12</v>
      </c>
      <c r="F713">
        <v>0</v>
      </c>
      <c r="G713">
        <v>3</v>
      </c>
      <c r="H713">
        <v>1</v>
      </c>
      <c r="I713">
        <v>2</v>
      </c>
      <c r="J713">
        <v>0.29749999999999999</v>
      </c>
      <c r="K713">
        <v>0.29733799999999999</v>
      </c>
      <c r="L713">
        <v>0.53833299999999995</v>
      </c>
      <c r="M713">
        <v>0.162937</v>
      </c>
      <c r="N713">
        <v>310</v>
      </c>
      <c r="O713">
        <v>5009</v>
      </c>
      <c r="P713">
        <v>5319</v>
      </c>
      <c r="Q713" t="str">
        <f>IF(BikeData[[#This Row],[casual]]+BikeData[[#This Row],[registered]]=BikeData[[#This Row],[cnt]],"OK","Check")</f>
        <v>OK</v>
      </c>
      <c r="R713">
        <f>IF(BikeData[[#This Row],[yr]]=0,2011,2012)</f>
        <v>2012</v>
      </c>
      <c r="S713" t="str">
        <f>CHOOSE(BikeData[[#This Row],[season]],"Winter","Spring","Summer","Fall")</f>
        <v>Fall</v>
      </c>
      <c r="T713" t="str">
        <f>TEXT(DATE(2000,BikeData[[#This Row],[mnth]],1),"mmmm")</f>
        <v>December</v>
      </c>
      <c r="U713" t="str">
        <f>IF(BikeData[[#This Row],[workingday]]=1,"Working Day","Non-working Day")</f>
        <v>Working Day</v>
      </c>
      <c r="V713" t="str">
        <f>CHOOSE(BikeData[[#This Row],[weekday]]+1,"Sunday","Monday","Tuesday","Wednesday","Thursday","Friday","Saturday")</f>
        <v>Wednesday</v>
      </c>
      <c r="W713" t="str">
        <f>CHOOSE(BikeData[[#This Row],[weathersit]],"Clear / Few Clouds","Mist / Cloudy","Light Rain / Snow","Heavy Rain / Snow")</f>
        <v>Mist / Cloudy</v>
      </c>
    </row>
    <row r="714" spans="1:23" x14ac:dyDescent="0.3">
      <c r="A714">
        <v>713</v>
      </c>
      <c r="B714" s="1">
        <v>41256</v>
      </c>
      <c r="C714">
        <v>4</v>
      </c>
      <c r="D714">
        <v>1</v>
      </c>
      <c r="E714">
        <v>12</v>
      </c>
      <c r="F714">
        <v>0</v>
      </c>
      <c r="G714">
        <v>4</v>
      </c>
      <c r="H714">
        <v>1</v>
      </c>
      <c r="I714">
        <v>1</v>
      </c>
      <c r="J714">
        <v>0.29583300000000001</v>
      </c>
      <c r="K714">
        <v>0.29418800000000001</v>
      </c>
      <c r="L714">
        <v>0.48583300000000001</v>
      </c>
      <c r="M714">
        <v>0.17412900000000001</v>
      </c>
      <c r="N714">
        <v>425</v>
      </c>
      <c r="O714">
        <v>5107</v>
      </c>
      <c r="P714">
        <v>5532</v>
      </c>
      <c r="Q714" t="str">
        <f>IF(BikeData[[#This Row],[casual]]+BikeData[[#This Row],[registered]]=BikeData[[#This Row],[cnt]],"OK","Check")</f>
        <v>OK</v>
      </c>
      <c r="R714">
        <f>IF(BikeData[[#This Row],[yr]]=0,2011,2012)</f>
        <v>2012</v>
      </c>
      <c r="S714" t="str">
        <f>CHOOSE(BikeData[[#This Row],[season]],"Winter","Spring","Summer","Fall")</f>
        <v>Fall</v>
      </c>
      <c r="T714" t="str">
        <f>TEXT(DATE(2000,BikeData[[#This Row],[mnth]],1),"mmmm")</f>
        <v>December</v>
      </c>
      <c r="U714" t="str">
        <f>IF(BikeData[[#This Row],[workingday]]=1,"Working Day","Non-working Day")</f>
        <v>Working Day</v>
      </c>
      <c r="V714" t="str">
        <f>CHOOSE(BikeData[[#This Row],[weekday]]+1,"Sunday","Monday","Tuesday","Wednesday","Thursday","Friday","Saturday")</f>
        <v>Thursday</v>
      </c>
      <c r="W714" t="str">
        <f>CHOOSE(BikeData[[#This Row],[weathersit]],"Clear / Few Clouds","Mist / Cloudy","Light Rain / Snow","Heavy Rain / Snow")</f>
        <v>Clear / Few Clouds</v>
      </c>
    </row>
    <row r="715" spans="1:23" x14ac:dyDescent="0.3">
      <c r="A715">
        <v>714</v>
      </c>
      <c r="B715" s="1">
        <v>41257</v>
      </c>
      <c r="C715">
        <v>4</v>
      </c>
      <c r="D715">
        <v>1</v>
      </c>
      <c r="E715">
        <v>12</v>
      </c>
      <c r="F715">
        <v>0</v>
      </c>
      <c r="G715">
        <v>5</v>
      </c>
      <c r="H715">
        <v>1</v>
      </c>
      <c r="I715">
        <v>1</v>
      </c>
      <c r="J715">
        <v>0.281667</v>
      </c>
      <c r="K715">
        <v>0.29419200000000001</v>
      </c>
      <c r="L715">
        <v>0.64291699999999996</v>
      </c>
      <c r="M715">
        <v>0.13122900000000001</v>
      </c>
      <c r="N715">
        <v>429</v>
      </c>
      <c r="O715">
        <v>5182</v>
      </c>
      <c r="P715">
        <v>5611</v>
      </c>
      <c r="Q715" t="str">
        <f>IF(BikeData[[#This Row],[casual]]+BikeData[[#This Row],[registered]]=BikeData[[#This Row],[cnt]],"OK","Check")</f>
        <v>OK</v>
      </c>
      <c r="R715">
        <f>IF(BikeData[[#This Row],[yr]]=0,2011,2012)</f>
        <v>2012</v>
      </c>
      <c r="S715" t="str">
        <f>CHOOSE(BikeData[[#This Row],[season]],"Winter","Spring","Summer","Fall")</f>
        <v>Fall</v>
      </c>
      <c r="T715" t="str">
        <f>TEXT(DATE(2000,BikeData[[#This Row],[mnth]],1),"mmmm")</f>
        <v>December</v>
      </c>
      <c r="U715" t="str">
        <f>IF(BikeData[[#This Row],[workingday]]=1,"Working Day","Non-working Day")</f>
        <v>Working Day</v>
      </c>
      <c r="V715" t="str">
        <f>CHOOSE(BikeData[[#This Row],[weekday]]+1,"Sunday","Monday","Tuesday","Wednesday","Thursday","Friday","Saturday")</f>
        <v>Friday</v>
      </c>
      <c r="W715" t="str">
        <f>CHOOSE(BikeData[[#This Row],[weathersit]],"Clear / Few Clouds","Mist / Cloudy","Light Rain / Snow","Heavy Rain / Snow")</f>
        <v>Clear / Few Clouds</v>
      </c>
    </row>
    <row r="716" spans="1:23" x14ac:dyDescent="0.3">
      <c r="A716">
        <v>715</v>
      </c>
      <c r="B716" s="1">
        <v>41258</v>
      </c>
      <c r="C716">
        <v>4</v>
      </c>
      <c r="D716">
        <v>1</v>
      </c>
      <c r="E716">
        <v>12</v>
      </c>
      <c r="F716">
        <v>0</v>
      </c>
      <c r="G716">
        <v>6</v>
      </c>
      <c r="H716">
        <v>0</v>
      </c>
      <c r="I716">
        <v>1</v>
      </c>
      <c r="J716">
        <v>0.32416699999999998</v>
      </c>
      <c r="K716">
        <v>0.33838299999999999</v>
      </c>
      <c r="L716">
        <v>0.65041700000000002</v>
      </c>
      <c r="M716">
        <v>0.10635</v>
      </c>
      <c r="N716">
        <v>767</v>
      </c>
      <c r="O716">
        <v>4280</v>
      </c>
      <c r="P716">
        <v>5047</v>
      </c>
      <c r="Q716" t="str">
        <f>IF(BikeData[[#This Row],[casual]]+BikeData[[#This Row],[registered]]=BikeData[[#This Row],[cnt]],"OK","Check")</f>
        <v>OK</v>
      </c>
      <c r="R716">
        <f>IF(BikeData[[#This Row],[yr]]=0,2011,2012)</f>
        <v>2012</v>
      </c>
      <c r="S716" t="str">
        <f>CHOOSE(BikeData[[#This Row],[season]],"Winter","Spring","Summer","Fall")</f>
        <v>Fall</v>
      </c>
      <c r="T716" t="str">
        <f>TEXT(DATE(2000,BikeData[[#This Row],[mnth]],1),"mmmm")</f>
        <v>December</v>
      </c>
      <c r="U716" t="str">
        <f>IF(BikeData[[#This Row],[workingday]]=1,"Working Day","Non-working Day")</f>
        <v>Non-working Day</v>
      </c>
      <c r="V716" t="str">
        <f>CHOOSE(BikeData[[#This Row],[weekday]]+1,"Sunday","Monday","Tuesday","Wednesday","Thursday","Friday","Saturday")</f>
        <v>Saturday</v>
      </c>
      <c r="W716" t="str">
        <f>CHOOSE(BikeData[[#This Row],[weathersit]],"Clear / Few Clouds","Mist / Cloudy","Light Rain / Snow","Heavy Rain / Snow")</f>
        <v>Clear / Few Clouds</v>
      </c>
    </row>
    <row r="717" spans="1:23" x14ac:dyDescent="0.3">
      <c r="A717">
        <v>716</v>
      </c>
      <c r="B717" s="1">
        <v>41259</v>
      </c>
      <c r="C717">
        <v>4</v>
      </c>
      <c r="D717">
        <v>1</v>
      </c>
      <c r="E717">
        <v>12</v>
      </c>
      <c r="F717">
        <v>0</v>
      </c>
      <c r="G717">
        <v>0</v>
      </c>
      <c r="H717">
        <v>0</v>
      </c>
      <c r="I717">
        <v>2</v>
      </c>
      <c r="J717">
        <v>0.36249999999999999</v>
      </c>
      <c r="K717">
        <v>0.36993799999999999</v>
      </c>
      <c r="L717">
        <v>0.83875</v>
      </c>
      <c r="M717">
        <v>0.100742</v>
      </c>
      <c r="N717">
        <v>538</v>
      </c>
      <c r="O717">
        <v>3248</v>
      </c>
      <c r="P717">
        <v>3786</v>
      </c>
      <c r="Q717" t="str">
        <f>IF(BikeData[[#This Row],[casual]]+BikeData[[#This Row],[registered]]=BikeData[[#This Row],[cnt]],"OK","Check")</f>
        <v>OK</v>
      </c>
      <c r="R717">
        <f>IF(BikeData[[#This Row],[yr]]=0,2011,2012)</f>
        <v>2012</v>
      </c>
      <c r="S717" t="str">
        <f>CHOOSE(BikeData[[#This Row],[season]],"Winter","Spring","Summer","Fall")</f>
        <v>Fall</v>
      </c>
      <c r="T717" t="str">
        <f>TEXT(DATE(2000,BikeData[[#This Row],[mnth]],1),"mmmm")</f>
        <v>December</v>
      </c>
      <c r="U717" t="str">
        <f>IF(BikeData[[#This Row],[workingday]]=1,"Working Day","Non-working Day")</f>
        <v>Non-working Day</v>
      </c>
      <c r="V717" t="str">
        <f>CHOOSE(BikeData[[#This Row],[weekday]]+1,"Sunday","Monday","Tuesday","Wednesday","Thursday","Friday","Saturday")</f>
        <v>Sunday</v>
      </c>
      <c r="W717" t="str">
        <f>CHOOSE(BikeData[[#This Row],[weathersit]],"Clear / Few Clouds","Mist / Cloudy","Light Rain / Snow","Heavy Rain / Snow")</f>
        <v>Mist / Cloudy</v>
      </c>
    </row>
    <row r="718" spans="1:23" x14ac:dyDescent="0.3">
      <c r="A718">
        <v>717</v>
      </c>
      <c r="B718" s="1">
        <v>41260</v>
      </c>
      <c r="C718">
        <v>4</v>
      </c>
      <c r="D718">
        <v>1</v>
      </c>
      <c r="E718">
        <v>12</v>
      </c>
      <c r="F718">
        <v>0</v>
      </c>
      <c r="G718">
        <v>1</v>
      </c>
      <c r="H718">
        <v>1</v>
      </c>
      <c r="I718">
        <v>2</v>
      </c>
      <c r="J718">
        <v>0.39333299999999999</v>
      </c>
      <c r="K718">
        <v>0.40150000000000002</v>
      </c>
      <c r="L718">
        <v>0.90708299999999997</v>
      </c>
      <c r="M718">
        <v>9.8258300000000007E-2</v>
      </c>
      <c r="N718">
        <v>212</v>
      </c>
      <c r="O718">
        <v>4373</v>
      </c>
      <c r="P718">
        <v>4585</v>
      </c>
      <c r="Q718" t="str">
        <f>IF(BikeData[[#This Row],[casual]]+BikeData[[#This Row],[registered]]=BikeData[[#This Row],[cnt]],"OK","Check")</f>
        <v>OK</v>
      </c>
      <c r="R718">
        <f>IF(BikeData[[#This Row],[yr]]=0,2011,2012)</f>
        <v>2012</v>
      </c>
      <c r="S718" t="str">
        <f>CHOOSE(BikeData[[#This Row],[season]],"Winter","Spring","Summer","Fall")</f>
        <v>Fall</v>
      </c>
      <c r="T718" t="str">
        <f>TEXT(DATE(2000,BikeData[[#This Row],[mnth]],1),"mmmm")</f>
        <v>December</v>
      </c>
      <c r="U718" t="str">
        <f>IF(BikeData[[#This Row],[workingday]]=1,"Working Day","Non-working Day")</f>
        <v>Working Day</v>
      </c>
      <c r="V718" t="str">
        <f>CHOOSE(BikeData[[#This Row],[weekday]]+1,"Sunday","Monday","Tuesday","Wednesday","Thursday","Friday","Saturday")</f>
        <v>Monday</v>
      </c>
      <c r="W718" t="str">
        <f>CHOOSE(BikeData[[#This Row],[weathersit]],"Clear / Few Clouds","Mist / Cloudy","Light Rain / Snow","Heavy Rain / Snow")</f>
        <v>Mist / Cloudy</v>
      </c>
    </row>
    <row r="719" spans="1:23" x14ac:dyDescent="0.3">
      <c r="A719">
        <v>718</v>
      </c>
      <c r="B719" s="1">
        <v>41261</v>
      </c>
      <c r="C719">
        <v>4</v>
      </c>
      <c r="D719">
        <v>1</v>
      </c>
      <c r="E719">
        <v>12</v>
      </c>
      <c r="F719">
        <v>0</v>
      </c>
      <c r="G719">
        <v>2</v>
      </c>
      <c r="H719">
        <v>1</v>
      </c>
      <c r="I719">
        <v>1</v>
      </c>
      <c r="J719">
        <v>0.410833</v>
      </c>
      <c r="K719">
        <v>0.40970800000000002</v>
      </c>
      <c r="L719">
        <v>0.66625000000000001</v>
      </c>
      <c r="M719">
        <v>0.22140399999999999</v>
      </c>
      <c r="N719">
        <v>433</v>
      </c>
      <c r="O719">
        <v>5124</v>
      </c>
      <c r="P719">
        <v>5557</v>
      </c>
      <c r="Q719" t="str">
        <f>IF(BikeData[[#This Row],[casual]]+BikeData[[#This Row],[registered]]=BikeData[[#This Row],[cnt]],"OK","Check")</f>
        <v>OK</v>
      </c>
      <c r="R719">
        <f>IF(BikeData[[#This Row],[yr]]=0,2011,2012)</f>
        <v>2012</v>
      </c>
      <c r="S719" t="str">
        <f>CHOOSE(BikeData[[#This Row],[season]],"Winter","Spring","Summer","Fall")</f>
        <v>Fall</v>
      </c>
      <c r="T719" t="str">
        <f>TEXT(DATE(2000,BikeData[[#This Row],[mnth]],1),"mmmm")</f>
        <v>December</v>
      </c>
      <c r="U719" t="str">
        <f>IF(BikeData[[#This Row],[workingday]]=1,"Working Day","Non-working Day")</f>
        <v>Working Day</v>
      </c>
      <c r="V719" t="str">
        <f>CHOOSE(BikeData[[#This Row],[weekday]]+1,"Sunday","Monday","Tuesday","Wednesday","Thursday","Friday","Saturday")</f>
        <v>Tuesday</v>
      </c>
      <c r="W719" t="str">
        <f>CHOOSE(BikeData[[#This Row],[weathersit]],"Clear / Few Clouds","Mist / Cloudy","Light Rain / Snow","Heavy Rain / Snow")</f>
        <v>Clear / Few Clouds</v>
      </c>
    </row>
    <row r="720" spans="1:23" x14ac:dyDescent="0.3">
      <c r="A720">
        <v>719</v>
      </c>
      <c r="B720" s="1">
        <v>41262</v>
      </c>
      <c r="C720">
        <v>4</v>
      </c>
      <c r="D720">
        <v>1</v>
      </c>
      <c r="E720">
        <v>12</v>
      </c>
      <c r="F720">
        <v>0</v>
      </c>
      <c r="G720">
        <v>3</v>
      </c>
      <c r="H720">
        <v>1</v>
      </c>
      <c r="I720">
        <v>1</v>
      </c>
      <c r="J720">
        <v>0.33250000000000002</v>
      </c>
      <c r="K720">
        <v>0.34216200000000002</v>
      </c>
      <c r="L720">
        <v>0.625417</v>
      </c>
      <c r="M720">
        <v>0.18409200000000001</v>
      </c>
      <c r="N720">
        <v>333</v>
      </c>
      <c r="O720">
        <v>4934</v>
      </c>
      <c r="P720">
        <v>5267</v>
      </c>
      <c r="Q720" t="str">
        <f>IF(BikeData[[#This Row],[casual]]+BikeData[[#This Row],[registered]]=BikeData[[#This Row],[cnt]],"OK","Check")</f>
        <v>OK</v>
      </c>
      <c r="R720">
        <f>IF(BikeData[[#This Row],[yr]]=0,2011,2012)</f>
        <v>2012</v>
      </c>
      <c r="S720" t="str">
        <f>CHOOSE(BikeData[[#This Row],[season]],"Winter","Spring","Summer","Fall")</f>
        <v>Fall</v>
      </c>
      <c r="T720" t="str">
        <f>TEXT(DATE(2000,BikeData[[#This Row],[mnth]],1),"mmmm")</f>
        <v>December</v>
      </c>
      <c r="U720" t="str">
        <f>IF(BikeData[[#This Row],[workingday]]=1,"Working Day","Non-working Day")</f>
        <v>Working Day</v>
      </c>
      <c r="V720" t="str">
        <f>CHOOSE(BikeData[[#This Row],[weekday]]+1,"Sunday","Monday","Tuesday","Wednesday","Thursday","Friday","Saturday")</f>
        <v>Wednesday</v>
      </c>
      <c r="W720" t="str">
        <f>CHOOSE(BikeData[[#This Row],[weathersit]],"Clear / Few Clouds","Mist / Cloudy","Light Rain / Snow","Heavy Rain / Snow")</f>
        <v>Clear / Few Clouds</v>
      </c>
    </row>
    <row r="721" spans="1:23" x14ac:dyDescent="0.3">
      <c r="A721">
        <v>720</v>
      </c>
      <c r="B721" s="1">
        <v>41263</v>
      </c>
      <c r="C721">
        <v>4</v>
      </c>
      <c r="D721">
        <v>1</v>
      </c>
      <c r="E721">
        <v>12</v>
      </c>
      <c r="F721">
        <v>0</v>
      </c>
      <c r="G721">
        <v>4</v>
      </c>
      <c r="H721">
        <v>1</v>
      </c>
      <c r="I721">
        <v>2</v>
      </c>
      <c r="J721">
        <v>0.33</v>
      </c>
      <c r="K721">
        <v>0.33521699999999999</v>
      </c>
      <c r="L721">
        <v>0.66791699999999998</v>
      </c>
      <c r="M721">
        <v>0.132463</v>
      </c>
      <c r="N721">
        <v>314</v>
      </c>
      <c r="O721">
        <v>3814</v>
      </c>
      <c r="P721">
        <v>4128</v>
      </c>
      <c r="Q721" t="str">
        <f>IF(BikeData[[#This Row],[casual]]+BikeData[[#This Row],[registered]]=BikeData[[#This Row],[cnt]],"OK","Check")</f>
        <v>OK</v>
      </c>
      <c r="R721">
        <f>IF(BikeData[[#This Row],[yr]]=0,2011,2012)</f>
        <v>2012</v>
      </c>
      <c r="S721" t="str">
        <f>CHOOSE(BikeData[[#This Row],[season]],"Winter","Spring","Summer","Fall")</f>
        <v>Fall</v>
      </c>
      <c r="T721" t="str">
        <f>TEXT(DATE(2000,BikeData[[#This Row],[mnth]],1),"mmmm")</f>
        <v>December</v>
      </c>
      <c r="U721" t="str">
        <f>IF(BikeData[[#This Row],[workingday]]=1,"Working Day","Non-working Day")</f>
        <v>Working Day</v>
      </c>
      <c r="V721" t="str">
        <f>CHOOSE(BikeData[[#This Row],[weekday]]+1,"Sunday","Monday","Tuesday","Wednesday","Thursday","Friday","Saturday")</f>
        <v>Thursday</v>
      </c>
      <c r="W721" t="str">
        <f>CHOOSE(BikeData[[#This Row],[weathersit]],"Clear / Few Clouds","Mist / Cloudy","Light Rain / Snow","Heavy Rain / Snow")</f>
        <v>Mist / Cloudy</v>
      </c>
    </row>
    <row r="722" spans="1:23" x14ac:dyDescent="0.3">
      <c r="A722">
        <v>721</v>
      </c>
      <c r="B722" s="1">
        <v>41264</v>
      </c>
      <c r="C722">
        <v>1</v>
      </c>
      <c r="D722">
        <v>1</v>
      </c>
      <c r="E722">
        <v>12</v>
      </c>
      <c r="F722">
        <v>0</v>
      </c>
      <c r="G722">
        <v>5</v>
      </c>
      <c r="H722">
        <v>1</v>
      </c>
      <c r="I722">
        <v>2</v>
      </c>
      <c r="J722">
        <v>0.32666699999999999</v>
      </c>
      <c r="K722">
        <v>0.30176700000000001</v>
      </c>
      <c r="L722">
        <v>0.55666700000000002</v>
      </c>
      <c r="M722">
        <v>0.37438300000000002</v>
      </c>
      <c r="N722">
        <v>221</v>
      </c>
      <c r="O722">
        <v>3402</v>
      </c>
      <c r="P722">
        <v>3623</v>
      </c>
      <c r="Q722" t="str">
        <f>IF(BikeData[[#This Row],[casual]]+BikeData[[#This Row],[registered]]=BikeData[[#This Row],[cnt]],"OK","Check")</f>
        <v>OK</v>
      </c>
      <c r="R722">
        <f>IF(BikeData[[#This Row],[yr]]=0,2011,2012)</f>
        <v>2012</v>
      </c>
      <c r="S722" t="str">
        <f>CHOOSE(BikeData[[#This Row],[season]],"Winter","Spring","Summer","Fall")</f>
        <v>Winter</v>
      </c>
      <c r="T722" t="str">
        <f>TEXT(DATE(2000,BikeData[[#This Row],[mnth]],1),"mmmm")</f>
        <v>December</v>
      </c>
      <c r="U722" t="str">
        <f>IF(BikeData[[#This Row],[workingday]]=1,"Working Day","Non-working Day")</f>
        <v>Working Day</v>
      </c>
      <c r="V722" t="str">
        <f>CHOOSE(BikeData[[#This Row],[weekday]]+1,"Sunday","Monday","Tuesday","Wednesday","Thursday","Friday","Saturday")</f>
        <v>Friday</v>
      </c>
      <c r="W722" t="str">
        <f>CHOOSE(BikeData[[#This Row],[weathersit]],"Clear / Few Clouds","Mist / Cloudy","Light Rain / Snow","Heavy Rain / Snow")</f>
        <v>Mist / Cloudy</v>
      </c>
    </row>
    <row r="723" spans="1:23" x14ac:dyDescent="0.3">
      <c r="A723">
        <v>722</v>
      </c>
      <c r="B723" s="1">
        <v>41265</v>
      </c>
      <c r="C723">
        <v>1</v>
      </c>
      <c r="D723">
        <v>1</v>
      </c>
      <c r="E723">
        <v>12</v>
      </c>
      <c r="F723">
        <v>0</v>
      </c>
      <c r="G723">
        <v>6</v>
      </c>
      <c r="H723">
        <v>0</v>
      </c>
      <c r="I723">
        <v>1</v>
      </c>
      <c r="J723">
        <v>0.26583299999999999</v>
      </c>
      <c r="K723">
        <v>0.23611299999999999</v>
      </c>
      <c r="L723">
        <v>0.44124999999999998</v>
      </c>
      <c r="M723">
        <v>0.40734599999999999</v>
      </c>
      <c r="N723">
        <v>205</v>
      </c>
      <c r="O723">
        <v>1544</v>
      </c>
      <c r="P723">
        <v>1749</v>
      </c>
      <c r="Q723" t="str">
        <f>IF(BikeData[[#This Row],[casual]]+BikeData[[#This Row],[registered]]=BikeData[[#This Row],[cnt]],"OK","Check")</f>
        <v>OK</v>
      </c>
      <c r="R723">
        <f>IF(BikeData[[#This Row],[yr]]=0,2011,2012)</f>
        <v>2012</v>
      </c>
      <c r="S723" t="str">
        <f>CHOOSE(BikeData[[#This Row],[season]],"Winter","Spring","Summer","Fall")</f>
        <v>Winter</v>
      </c>
      <c r="T723" t="str">
        <f>TEXT(DATE(2000,BikeData[[#This Row],[mnth]],1),"mmmm")</f>
        <v>December</v>
      </c>
      <c r="U723" t="str">
        <f>IF(BikeData[[#This Row],[workingday]]=1,"Working Day","Non-working Day")</f>
        <v>Non-working Day</v>
      </c>
      <c r="V723" t="str">
        <f>CHOOSE(BikeData[[#This Row],[weekday]]+1,"Sunday","Monday","Tuesday","Wednesday","Thursday","Friday","Saturday")</f>
        <v>Saturday</v>
      </c>
      <c r="W723" t="str">
        <f>CHOOSE(BikeData[[#This Row],[weathersit]],"Clear / Few Clouds","Mist / Cloudy","Light Rain / Snow","Heavy Rain / Snow")</f>
        <v>Clear / Few Clouds</v>
      </c>
    </row>
    <row r="724" spans="1:23" x14ac:dyDescent="0.3">
      <c r="A724">
        <v>723</v>
      </c>
      <c r="B724" s="1">
        <v>41266</v>
      </c>
      <c r="C724">
        <v>1</v>
      </c>
      <c r="D724">
        <v>1</v>
      </c>
      <c r="E724">
        <v>12</v>
      </c>
      <c r="F724">
        <v>0</v>
      </c>
      <c r="G724">
        <v>0</v>
      </c>
      <c r="H724">
        <v>0</v>
      </c>
      <c r="I724">
        <v>1</v>
      </c>
      <c r="J724">
        <v>0.245833</v>
      </c>
      <c r="K724">
        <v>0.25947100000000001</v>
      </c>
      <c r="L724">
        <v>0.51541700000000001</v>
      </c>
      <c r="M724">
        <v>0.13308300000000001</v>
      </c>
      <c r="N724">
        <v>408</v>
      </c>
      <c r="O724">
        <v>1379</v>
      </c>
      <c r="P724">
        <v>1787</v>
      </c>
      <c r="Q724" t="str">
        <f>IF(BikeData[[#This Row],[casual]]+BikeData[[#This Row],[registered]]=BikeData[[#This Row],[cnt]],"OK","Check")</f>
        <v>OK</v>
      </c>
      <c r="R724">
        <f>IF(BikeData[[#This Row],[yr]]=0,2011,2012)</f>
        <v>2012</v>
      </c>
      <c r="S724" t="str">
        <f>CHOOSE(BikeData[[#This Row],[season]],"Winter","Spring","Summer","Fall")</f>
        <v>Winter</v>
      </c>
      <c r="T724" t="str">
        <f>TEXT(DATE(2000,BikeData[[#This Row],[mnth]],1),"mmmm")</f>
        <v>December</v>
      </c>
      <c r="U724" t="str">
        <f>IF(BikeData[[#This Row],[workingday]]=1,"Working Day","Non-working Day")</f>
        <v>Non-working Day</v>
      </c>
      <c r="V724" t="str">
        <f>CHOOSE(BikeData[[#This Row],[weekday]]+1,"Sunday","Monday","Tuesday","Wednesday","Thursday","Friday","Saturday")</f>
        <v>Sunday</v>
      </c>
      <c r="W724" t="str">
        <f>CHOOSE(BikeData[[#This Row],[weathersit]],"Clear / Few Clouds","Mist / Cloudy","Light Rain / Snow","Heavy Rain / Snow")</f>
        <v>Clear / Few Clouds</v>
      </c>
    </row>
    <row r="725" spans="1:23" x14ac:dyDescent="0.3">
      <c r="A725">
        <v>724</v>
      </c>
      <c r="B725" s="1">
        <v>41267</v>
      </c>
      <c r="C725">
        <v>1</v>
      </c>
      <c r="D725">
        <v>1</v>
      </c>
      <c r="E725">
        <v>12</v>
      </c>
      <c r="F725">
        <v>0</v>
      </c>
      <c r="G725">
        <v>1</v>
      </c>
      <c r="H725">
        <v>1</v>
      </c>
      <c r="I725">
        <v>2</v>
      </c>
      <c r="J725">
        <v>0.23130400000000001</v>
      </c>
      <c r="K725">
        <v>0.25890000000000002</v>
      </c>
      <c r="L725">
        <v>0.79130400000000001</v>
      </c>
      <c r="M725">
        <v>7.7230400000000005E-2</v>
      </c>
      <c r="N725">
        <v>174</v>
      </c>
      <c r="O725">
        <v>746</v>
      </c>
      <c r="P725">
        <v>920</v>
      </c>
      <c r="Q725" t="str">
        <f>IF(BikeData[[#This Row],[casual]]+BikeData[[#This Row],[registered]]=BikeData[[#This Row],[cnt]],"OK","Check")</f>
        <v>OK</v>
      </c>
      <c r="R725">
        <f>IF(BikeData[[#This Row],[yr]]=0,2011,2012)</f>
        <v>2012</v>
      </c>
      <c r="S725" t="str">
        <f>CHOOSE(BikeData[[#This Row],[season]],"Winter","Spring","Summer","Fall")</f>
        <v>Winter</v>
      </c>
      <c r="T725" t="str">
        <f>TEXT(DATE(2000,BikeData[[#This Row],[mnth]],1),"mmmm")</f>
        <v>December</v>
      </c>
      <c r="U725" t="str">
        <f>IF(BikeData[[#This Row],[workingday]]=1,"Working Day","Non-working Day")</f>
        <v>Working Day</v>
      </c>
      <c r="V725" t="str">
        <f>CHOOSE(BikeData[[#This Row],[weekday]]+1,"Sunday","Monday","Tuesday","Wednesday","Thursday","Friday","Saturday")</f>
        <v>Monday</v>
      </c>
      <c r="W725" t="str">
        <f>CHOOSE(BikeData[[#This Row],[weathersit]],"Clear / Few Clouds","Mist / Cloudy","Light Rain / Snow","Heavy Rain / Snow")</f>
        <v>Mist / Cloudy</v>
      </c>
    </row>
    <row r="726" spans="1:23" x14ac:dyDescent="0.3">
      <c r="A726">
        <v>725</v>
      </c>
      <c r="B726" s="1">
        <v>41268</v>
      </c>
      <c r="C726">
        <v>1</v>
      </c>
      <c r="D726">
        <v>1</v>
      </c>
      <c r="E726">
        <v>12</v>
      </c>
      <c r="F726">
        <v>1</v>
      </c>
      <c r="G726">
        <v>2</v>
      </c>
      <c r="H726">
        <v>0</v>
      </c>
      <c r="I726">
        <v>2</v>
      </c>
      <c r="J726">
        <v>0.29130400000000001</v>
      </c>
      <c r="K726">
        <v>0.29446499999999998</v>
      </c>
      <c r="L726">
        <v>0.73478299999999996</v>
      </c>
      <c r="M726">
        <v>0.16872599999999999</v>
      </c>
      <c r="N726">
        <v>440</v>
      </c>
      <c r="O726">
        <v>573</v>
      </c>
      <c r="P726">
        <v>1013</v>
      </c>
      <c r="Q726" t="str">
        <f>IF(BikeData[[#This Row],[casual]]+BikeData[[#This Row],[registered]]=BikeData[[#This Row],[cnt]],"OK","Check")</f>
        <v>OK</v>
      </c>
      <c r="R726">
        <f>IF(BikeData[[#This Row],[yr]]=0,2011,2012)</f>
        <v>2012</v>
      </c>
      <c r="S726" t="str">
        <f>CHOOSE(BikeData[[#This Row],[season]],"Winter","Spring","Summer","Fall")</f>
        <v>Winter</v>
      </c>
      <c r="T726" t="str">
        <f>TEXT(DATE(2000,BikeData[[#This Row],[mnth]],1),"mmmm")</f>
        <v>December</v>
      </c>
      <c r="U726" t="str">
        <f>IF(BikeData[[#This Row],[workingday]]=1,"Working Day","Non-working Day")</f>
        <v>Non-working Day</v>
      </c>
      <c r="V726" t="str">
        <f>CHOOSE(BikeData[[#This Row],[weekday]]+1,"Sunday","Monday","Tuesday","Wednesday","Thursday","Friday","Saturday")</f>
        <v>Tuesday</v>
      </c>
      <c r="W726" t="str">
        <f>CHOOSE(BikeData[[#This Row],[weathersit]],"Clear / Few Clouds","Mist / Cloudy","Light Rain / Snow","Heavy Rain / Snow")</f>
        <v>Mist / Cloudy</v>
      </c>
    </row>
    <row r="727" spans="1:23" x14ac:dyDescent="0.3">
      <c r="A727">
        <v>726</v>
      </c>
      <c r="B727" s="1">
        <v>41269</v>
      </c>
      <c r="C727">
        <v>1</v>
      </c>
      <c r="D727">
        <v>1</v>
      </c>
      <c r="E727">
        <v>12</v>
      </c>
      <c r="F727">
        <v>0</v>
      </c>
      <c r="G727">
        <v>3</v>
      </c>
      <c r="H727">
        <v>1</v>
      </c>
      <c r="I727">
        <v>3</v>
      </c>
      <c r="J727">
        <v>0.24333299999999999</v>
      </c>
      <c r="K727">
        <v>0.220333</v>
      </c>
      <c r="L727">
        <v>0.82333299999999998</v>
      </c>
      <c r="M727">
        <v>0.31654599999999999</v>
      </c>
      <c r="N727">
        <v>9</v>
      </c>
      <c r="O727">
        <v>432</v>
      </c>
      <c r="P727">
        <v>441</v>
      </c>
      <c r="Q727" t="str">
        <f>IF(BikeData[[#This Row],[casual]]+BikeData[[#This Row],[registered]]=BikeData[[#This Row],[cnt]],"OK","Check")</f>
        <v>OK</v>
      </c>
      <c r="R727">
        <f>IF(BikeData[[#This Row],[yr]]=0,2011,2012)</f>
        <v>2012</v>
      </c>
      <c r="S727" t="str">
        <f>CHOOSE(BikeData[[#This Row],[season]],"Winter","Spring","Summer","Fall")</f>
        <v>Winter</v>
      </c>
      <c r="T727" t="str">
        <f>TEXT(DATE(2000,BikeData[[#This Row],[mnth]],1),"mmmm")</f>
        <v>December</v>
      </c>
      <c r="U727" t="str">
        <f>IF(BikeData[[#This Row],[workingday]]=1,"Working Day","Non-working Day")</f>
        <v>Working Day</v>
      </c>
      <c r="V727" t="str">
        <f>CHOOSE(BikeData[[#This Row],[weekday]]+1,"Sunday","Monday","Tuesday","Wednesday","Thursday","Friday","Saturday")</f>
        <v>Wednesday</v>
      </c>
      <c r="W727" t="str">
        <f>CHOOSE(BikeData[[#This Row],[weathersit]],"Clear / Few Clouds","Mist / Cloudy","Light Rain / Snow","Heavy Rain / Snow")</f>
        <v>Light Rain / Snow</v>
      </c>
    </row>
    <row r="728" spans="1:23" x14ac:dyDescent="0.3">
      <c r="A728">
        <v>727</v>
      </c>
      <c r="B728" s="1">
        <v>41270</v>
      </c>
      <c r="C728">
        <v>1</v>
      </c>
      <c r="D728">
        <v>1</v>
      </c>
      <c r="E728">
        <v>12</v>
      </c>
      <c r="F728">
        <v>0</v>
      </c>
      <c r="G728">
        <v>4</v>
      </c>
      <c r="H728">
        <v>1</v>
      </c>
      <c r="I728">
        <v>2</v>
      </c>
      <c r="J728">
        <v>0.25416699999999998</v>
      </c>
      <c r="K728">
        <v>0.22664200000000001</v>
      </c>
      <c r="L728">
        <v>0.65291699999999997</v>
      </c>
      <c r="M728">
        <v>0.35013300000000003</v>
      </c>
      <c r="N728">
        <v>247</v>
      </c>
      <c r="O728">
        <v>1867</v>
      </c>
      <c r="P728">
        <v>2114</v>
      </c>
      <c r="Q728" t="str">
        <f>IF(BikeData[[#This Row],[casual]]+BikeData[[#This Row],[registered]]=BikeData[[#This Row],[cnt]],"OK","Check")</f>
        <v>OK</v>
      </c>
      <c r="R728">
        <f>IF(BikeData[[#This Row],[yr]]=0,2011,2012)</f>
        <v>2012</v>
      </c>
      <c r="S728" t="str">
        <f>CHOOSE(BikeData[[#This Row],[season]],"Winter","Spring","Summer","Fall")</f>
        <v>Winter</v>
      </c>
      <c r="T728" t="str">
        <f>TEXT(DATE(2000,BikeData[[#This Row],[mnth]],1),"mmmm")</f>
        <v>December</v>
      </c>
      <c r="U728" t="str">
        <f>IF(BikeData[[#This Row],[workingday]]=1,"Working Day","Non-working Day")</f>
        <v>Working Day</v>
      </c>
      <c r="V728" t="str">
        <f>CHOOSE(BikeData[[#This Row],[weekday]]+1,"Sunday","Monday","Tuesday","Wednesday","Thursday","Friday","Saturday")</f>
        <v>Thursday</v>
      </c>
      <c r="W728" t="str">
        <f>CHOOSE(BikeData[[#This Row],[weathersit]],"Clear / Few Clouds","Mist / Cloudy","Light Rain / Snow","Heavy Rain / Snow")</f>
        <v>Mist / Cloudy</v>
      </c>
    </row>
    <row r="729" spans="1:23" x14ac:dyDescent="0.3">
      <c r="A729">
        <v>728</v>
      </c>
      <c r="B729" s="1">
        <v>41271</v>
      </c>
      <c r="C729">
        <v>1</v>
      </c>
      <c r="D729">
        <v>1</v>
      </c>
      <c r="E729">
        <v>12</v>
      </c>
      <c r="F729">
        <v>0</v>
      </c>
      <c r="G729">
        <v>5</v>
      </c>
      <c r="H729">
        <v>1</v>
      </c>
      <c r="I729">
        <v>2</v>
      </c>
      <c r="J729">
        <v>0.25333299999999997</v>
      </c>
      <c r="K729">
        <v>0.25504599999999999</v>
      </c>
      <c r="L729">
        <v>0.59</v>
      </c>
      <c r="M729">
        <v>0.155471</v>
      </c>
      <c r="N729">
        <v>644</v>
      </c>
      <c r="O729">
        <v>2451</v>
      </c>
      <c r="P729">
        <v>3095</v>
      </c>
      <c r="Q729" t="str">
        <f>IF(BikeData[[#This Row],[casual]]+BikeData[[#This Row],[registered]]=BikeData[[#This Row],[cnt]],"OK","Check")</f>
        <v>OK</v>
      </c>
      <c r="R729">
        <f>IF(BikeData[[#This Row],[yr]]=0,2011,2012)</f>
        <v>2012</v>
      </c>
      <c r="S729" t="str">
        <f>CHOOSE(BikeData[[#This Row],[season]],"Winter","Spring","Summer","Fall")</f>
        <v>Winter</v>
      </c>
      <c r="T729" t="str">
        <f>TEXT(DATE(2000,BikeData[[#This Row],[mnth]],1),"mmmm")</f>
        <v>December</v>
      </c>
      <c r="U729" t="str">
        <f>IF(BikeData[[#This Row],[workingday]]=1,"Working Day","Non-working Day")</f>
        <v>Working Day</v>
      </c>
      <c r="V729" t="str">
        <f>CHOOSE(BikeData[[#This Row],[weekday]]+1,"Sunday","Monday","Tuesday","Wednesday","Thursday","Friday","Saturday")</f>
        <v>Friday</v>
      </c>
      <c r="W729" t="str">
        <f>CHOOSE(BikeData[[#This Row],[weathersit]],"Clear / Few Clouds","Mist / Cloudy","Light Rain / Snow","Heavy Rain / Snow")</f>
        <v>Mist / Cloudy</v>
      </c>
    </row>
    <row r="730" spans="1:23" x14ac:dyDescent="0.3">
      <c r="A730">
        <v>729</v>
      </c>
      <c r="B730" s="1">
        <v>41272</v>
      </c>
      <c r="C730">
        <v>1</v>
      </c>
      <c r="D730">
        <v>1</v>
      </c>
      <c r="E730">
        <v>12</v>
      </c>
      <c r="F730">
        <v>0</v>
      </c>
      <c r="G730">
        <v>6</v>
      </c>
      <c r="H730">
        <v>0</v>
      </c>
      <c r="I730">
        <v>2</v>
      </c>
      <c r="J730">
        <v>0.25333299999999997</v>
      </c>
      <c r="K730">
        <v>0.2424</v>
      </c>
      <c r="L730">
        <v>0.75291699999999995</v>
      </c>
      <c r="M730">
        <v>0.12438299999999999</v>
      </c>
      <c r="N730">
        <v>159</v>
      </c>
      <c r="O730">
        <v>1182</v>
      </c>
      <c r="P730">
        <v>1341</v>
      </c>
      <c r="Q730" t="str">
        <f>IF(BikeData[[#This Row],[casual]]+BikeData[[#This Row],[registered]]=BikeData[[#This Row],[cnt]],"OK","Check")</f>
        <v>OK</v>
      </c>
      <c r="R730">
        <f>IF(BikeData[[#This Row],[yr]]=0,2011,2012)</f>
        <v>2012</v>
      </c>
      <c r="S730" t="str">
        <f>CHOOSE(BikeData[[#This Row],[season]],"Winter","Spring","Summer","Fall")</f>
        <v>Winter</v>
      </c>
      <c r="T730" t="str">
        <f>TEXT(DATE(2000,BikeData[[#This Row],[mnth]],1),"mmmm")</f>
        <v>December</v>
      </c>
      <c r="U730" t="str">
        <f>IF(BikeData[[#This Row],[workingday]]=1,"Working Day","Non-working Day")</f>
        <v>Non-working Day</v>
      </c>
      <c r="V730" t="str">
        <f>CHOOSE(BikeData[[#This Row],[weekday]]+1,"Sunday","Monday","Tuesday","Wednesday","Thursday","Friday","Saturday")</f>
        <v>Saturday</v>
      </c>
      <c r="W730" t="str">
        <f>CHOOSE(BikeData[[#This Row],[weathersit]],"Clear / Few Clouds","Mist / Cloudy","Light Rain / Snow","Heavy Rain / Snow")</f>
        <v>Mist / Cloudy</v>
      </c>
    </row>
    <row r="731" spans="1:23" x14ac:dyDescent="0.3">
      <c r="A731">
        <v>730</v>
      </c>
      <c r="B731" s="1">
        <v>41273</v>
      </c>
      <c r="C731">
        <v>1</v>
      </c>
      <c r="D731">
        <v>1</v>
      </c>
      <c r="E731">
        <v>12</v>
      </c>
      <c r="F731">
        <v>0</v>
      </c>
      <c r="G731">
        <v>0</v>
      </c>
      <c r="H731">
        <v>0</v>
      </c>
      <c r="I731">
        <v>1</v>
      </c>
      <c r="J731">
        <v>0.25583299999999998</v>
      </c>
      <c r="K731">
        <v>0.23169999999999999</v>
      </c>
      <c r="L731">
        <v>0.48333300000000001</v>
      </c>
      <c r="M731">
        <v>0.35075400000000001</v>
      </c>
      <c r="N731">
        <v>364</v>
      </c>
      <c r="O731">
        <v>1432</v>
      </c>
      <c r="P731">
        <v>1796</v>
      </c>
      <c r="Q731" t="str">
        <f>IF(BikeData[[#This Row],[casual]]+BikeData[[#This Row],[registered]]=BikeData[[#This Row],[cnt]],"OK","Check")</f>
        <v>OK</v>
      </c>
      <c r="R731">
        <f>IF(BikeData[[#This Row],[yr]]=0,2011,2012)</f>
        <v>2012</v>
      </c>
      <c r="S731" t="str">
        <f>CHOOSE(BikeData[[#This Row],[season]],"Winter","Spring","Summer","Fall")</f>
        <v>Winter</v>
      </c>
      <c r="T731" t="str">
        <f>TEXT(DATE(2000,BikeData[[#This Row],[mnth]],1),"mmmm")</f>
        <v>December</v>
      </c>
      <c r="U731" t="str">
        <f>IF(BikeData[[#This Row],[workingday]]=1,"Working Day","Non-working Day")</f>
        <v>Non-working Day</v>
      </c>
      <c r="V731" t="str">
        <f>CHOOSE(BikeData[[#This Row],[weekday]]+1,"Sunday","Monday","Tuesday","Wednesday","Thursday","Friday","Saturday")</f>
        <v>Sunday</v>
      </c>
      <c r="W731" t="str">
        <f>CHOOSE(BikeData[[#This Row],[weathersit]],"Clear / Few Clouds","Mist / Cloudy","Light Rain / Snow","Heavy Rain / Snow")</f>
        <v>Clear / Few Clouds</v>
      </c>
    </row>
    <row r="732" spans="1:23" x14ac:dyDescent="0.3">
      <c r="A732">
        <v>731</v>
      </c>
      <c r="B732" s="1">
        <v>41274</v>
      </c>
      <c r="C732">
        <v>1</v>
      </c>
      <c r="D732">
        <v>1</v>
      </c>
      <c r="E732">
        <v>12</v>
      </c>
      <c r="F732">
        <v>0</v>
      </c>
      <c r="G732">
        <v>1</v>
      </c>
      <c r="H732">
        <v>1</v>
      </c>
      <c r="I732">
        <v>2</v>
      </c>
      <c r="J732">
        <v>0.215833</v>
      </c>
      <c r="K732">
        <v>0.22348699999999999</v>
      </c>
      <c r="L732">
        <v>0.57750000000000001</v>
      </c>
      <c r="M732">
        <v>0.15484600000000001</v>
      </c>
      <c r="N732">
        <v>439</v>
      </c>
      <c r="O732">
        <v>2290</v>
      </c>
      <c r="P732">
        <v>2729</v>
      </c>
      <c r="Q732" t="str">
        <f>IF(BikeData[[#This Row],[casual]]+BikeData[[#This Row],[registered]]=BikeData[[#This Row],[cnt]],"OK","Check")</f>
        <v>OK</v>
      </c>
      <c r="R732">
        <f>IF(BikeData[[#This Row],[yr]]=0,2011,2012)</f>
        <v>2012</v>
      </c>
      <c r="S732" t="str">
        <f>CHOOSE(BikeData[[#This Row],[season]],"Winter","Spring","Summer","Fall")</f>
        <v>Winter</v>
      </c>
      <c r="T732" t="str">
        <f>TEXT(DATE(2000,BikeData[[#This Row],[mnth]],1),"mmmm")</f>
        <v>December</v>
      </c>
      <c r="U732" t="str">
        <f>IF(BikeData[[#This Row],[workingday]]=1,"Working Day","Non-working Day")</f>
        <v>Working Day</v>
      </c>
      <c r="V732" t="str">
        <f>CHOOSE(BikeData[[#This Row],[weekday]]+1,"Sunday","Monday","Tuesday","Wednesday","Thursday","Friday","Saturday")</f>
        <v>Monday</v>
      </c>
      <c r="W732" t="str">
        <f>CHOOSE(BikeData[[#This Row],[weathersit]],"Clear / Few Clouds","Mist / Cloudy","Light Rain / Snow","Heavy Rain / Snow")</f>
        <v>Mist / Cloudy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17E7-93A2-4217-A5D3-9AA6BF733F6C}">
  <dimension ref="A1:P732"/>
  <sheetViews>
    <sheetView workbookViewId="0">
      <selection activeCell="A732" sqref="A732"/>
    </sheetView>
  </sheetViews>
  <sheetFormatPr defaultRowHeight="14.4" x14ac:dyDescent="0.3"/>
  <cols>
    <col min="2" max="2" width="10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>
        <v>0.344167</v>
      </c>
      <c r="K2">
        <v>0.36362499999999998</v>
      </c>
      <c r="L2">
        <v>0.80583300000000002</v>
      </c>
      <c r="M2">
        <v>0.16044600000000001</v>
      </c>
      <c r="N2">
        <v>331</v>
      </c>
      <c r="O2">
        <v>654</v>
      </c>
      <c r="P2">
        <v>985</v>
      </c>
    </row>
    <row r="3" spans="1:16" x14ac:dyDescent="0.3">
      <c r="A3">
        <v>2</v>
      </c>
      <c r="B3" s="1">
        <v>40545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0.36347800000000002</v>
      </c>
      <c r="K3">
        <v>0.35373900000000003</v>
      </c>
      <c r="L3">
        <v>0.69608700000000001</v>
      </c>
      <c r="M3">
        <v>0.24853900000000001</v>
      </c>
      <c r="N3">
        <v>131</v>
      </c>
      <c r="O3">
        <v>670</v>
      </c>
      <c r="P3">
        <v>801</v>
      </c>
    </row>
    <row r="4" spans="1:16" x14ac:dyDescent="0.3">
      <c r="A4">
        <v>3</v>
      </c>
      <c r="B4" s="1">
        <v>40546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0.19636400000000001</v>
      </c>
      <c r="K4">
        <v>0.18940499999999999</v>
      </c>
      <c r="L4">
        <v>0.43727300000000002</v>
      </c>
      <c r="M4">
        <v>0.248309</v>
      </c>
      <c r="N4">
        <v>120</v>
      </c>
      <c r="O4">
        <v>1229</v>
      </c>
      <c r="P4">
        <v>1349</v>
      </c>
    </row>
    <row r="5" spans="1:16" x14ac:dyDescent="0.3">
      <c r="A5">
        <v>4</v>
      </c>
      <c r="B5" s="1">
        <v>40547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>
        <v>0.2</v>
      </c>
      <c r="K5">
        <v>0.212122</v>
      </c>
      <c r="L5">
        <v>0.59043500000000004</v>
      </c>
      <c r="M5">
        <v>0.16029599999999999</v>
      </c>
      <c r="N5">
        <v>108</v>
      </c>
      <c r="O5">
        <v>1454</v>
      </c>
      <c r="P5">
        <v>1562</v>
      </c>
    </row>
    <row r="6" spans="1:16" x14ac:dyDescent="0.3">
      <c r="A6">
        <v>5</v>
      </c>
      <c r="B6" s="1">
        <v>40548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>
        <v>0.22695699999999999</v>
      </c>
      <c r="K6">
        <v>0.22927</v>
      </c>
      <c r="L6">
        <v>0.43695699999999998</v>
      </c>
      <c r="M6">
        <v>0.18690000000000001</v>
      </c>
      <c r="N6">
        <v>82</v>
      </c>
      <c r="O6">
        <v>1518</v>
      </c>
      <c r="P6">
        <v>1600</v>
      </c>
    </row>
    <row r="7" spans="1:16" x14ac:dyDescent="0.3">
      <c r="A7">
        <v>6</v>
      </c>
      <c r="B7" s="1">
        <v>40549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>
        <v>0.204348</v>
      </c>
      <c r="K7">
        <v>0.233209</v>
      </c>
      <c r="L7">
        <v>0.51826099999999997</v>
      </c>
      <c r="M7">
        <v>8.9565199999999998E-2</v>
      </c>
      <c r="N7">
        <v>88</v>
      </c>
      <c r="O7">
        <v>1518</v>
      </c>
      <c r="P7">
        <v>1606</v>
      </c>
    </row>
    <row r="8" spans="1:16" x14ac:dyDescent="0.3">
      <c r="A8">
        <v>7</v>
      </c>
      <c r="B8" s="1">
        <v>40550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>
        <v>0.196522</v>
      </c>
      <c r="K8">
        <v>0.208839</v>
      </c>
      <c r="L8">
        <v>0.49869599999999997</v>
      </c>
      <c r="M8">
        <v>0.16872599999999999</v>
      </c>
      <c r="N8">
        <v>148</v>
      </c>
      <c r="O8">
        <v>1362</v>
      </c>
      <c r="P8">
        <v>1510</v>
      </c>
    </row>
    <row r="9" spans="1:16" x14ac:dyDescent="0.3">
      <c r="A9">
        <v>8</v>
      </c>
      <c r="B9" s="1">
        <v>40551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>
        <v>0.16500000000000001</v>
      </c>
      <c r="K9">
        <v>0.16225400000000001</v>
      </c>
      <c r="L9">
        <v>0.535833</v>
      </c>
      <c r="M9">
        <v>0.26680399999999999</v>
      </c>
      <c r="N9">
        <v>68</v>
      </c>
      <c r="O9">
        <v>891</v>
      </c>
      <c r="P9">
        <v>959</v>
      </c>
    </row>
    <row r="10" spans="1:16" x14ac:dyDescent="0.3">
      <c r="A10">
        <v>9</v>
      </c>
      <c r="B10" s="1">
        <v>40552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0.13833300000000001</v>
      </c>
      <c r="K10">
        <v>0.116175</v>
      </c>
      <c r="L10">
        <v>0.43416700000000003</v>
      </c>
      <c r="M10">
        <v>0.36194999999999999</v>
      </c>
      <c r="N10">
        <v>54</v>
      </c>
      <c r="O10">
        <v>768</v>
      </c>
      <c r="P10">
        <v>822</v>
      </c>
    </row>
    <row r="11" spans="1:16" x14ac:dyDescent="0.3">
      <c r="A11">
        <v>10</v>
      </c>
      <c r="B11" s="1">
        <v>40553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0.15083299999999999</v>
      </c>
      <c r="K11">
        <v>0.15088799999999999</v>
      </c>
      <c r="L11">
        <v>0.48291699999999999</v>
      </c>
      <c r="M11">
        <v>0.22326699999999999</v>
      </c>
      <c r="N11">
        <v>41</v>
      </c>
      <c r="O11">
        <v>1280</v>
      </c>
      <c r="P11">
        <v>1321</v>
      </c>
    </row>
    <row r="12" spans="1:16" x14ac:dyDescent="0.3">
      <c r="A12">
        <v>11</v>
      </c>
      <c r="B12" s="1">
        <v>40554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>
        <v>0.16909099999999999</v>
      </c>
      <c r="K12">
        <v>0.191464</v>
      </c>
      <c r="L12">
        <v>0.68636399999999997</v>
      </c>
      <c r="M12">
        <v>0.122132</v>
      </c>
      <c r="N12">
        <v>43</v>
      </c>
      <c r="O12">
        <v>1220</v>
      </c>
      <c r="P12">
        <v>1263</v>
      </c>
    </row>
    <row r="13" spans="1:16" x14ac:dyDescent="0.3">
      <c r="A13">
        <v>12</v>
      </c>
      <c r="B13" s="1">
        <v>40555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>
        <v>0.17272699999999999</v>
      </c>
      <c r="K13">
        <v>0.160473</v>
      </c>
      <c r="L13">
        <v>0.59954499999999999</v>
      </c>
      <c r="M13">
        <v>0.30462699999999998</v>
      </c>
      <c r="N13">
        <v>25</v>
      </c>
      <c r="O13">
        <v>1137</v>
      </c>
      <c r="P13">
        <v>1162</v>
      </c>
    </row>
    <row r="14" spans="1:16" x14ac:dyDescent="0.3">
      <c r="A14">
        <v>13</v>
      </c>
      <c r="B14" s="1">
        <v>40556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>
        <v>0.16500000000000001</v>
      </c>
      <c r="K14">
        <v>0.15088299999999999</v>
      </c>
      <c r="L14">
        <v>0.47041699999999997</v>
      </c>
      <c r="M14">
        <v>0.30099999999999999</v>
      </c>
      <c r="N14">
        <v>38</v>
      </c>
      <c r="O14">
        <v>1368</v>
      </c>
      <c r="P14">
        <v>1406</v>
      </c>
    </row>
    <row r="15" spans="1:16" x14ac:dyDescent="0.3">
      <c r="A15">
        <v>14</v>
      </c>
      <c r="B15" s="1">
        <v>40557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>
        <v>0.16087000000000001</v>
      </c>
      <c r="K15">
        <v>0.188413</v>
      </c>
      <c r="L15">
        <v>0.53782600000000003</v>
      </c>
      <c r="M15">
        <v>0.12654799999999999</v>
      </c>
      <c r="N15">
        <v>54</v>
      </c>
      <c r="O15">
        <v>1367</v>
      </c>
      <c r="P15">
        <v>1421</v>
      </c>
    </row>
    <row r="16" spans="1:16" x14ac:dyDescent="0.3">
      <c r="A16">
        <v>15</v>
      </c>
      <c r="B16" s="1">
        <v>40558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>
        <v>0.23333300000000001</v>
      </c>
      <c r="K16">
        <v>0.248112</v>
      </c>
      <c r="L16">
        <v>0.49875000000000003</v>
      </c>
      <c r="M16">
        <v>0.15796299999999999</v>
      </c>
      <c r="N16">
        <v>222</v>
      </c>
      <c r="O16">
        <v>1026</v>
      </c>
      <c r="P16">
        <v>1248</v>
      </c>
    </row>
    <row r="17" spans="1:16" x14ac:dyDescent="0.3">
      <c r="A17">
        <v>16</v>
      </c>
      <c r="B17" s="1">
        <v>40559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0.23166700000000001</v>
      </c>
      <c r="K17">
        <v>0.23421700000000001</v>
      </c>
      <c r="L17">
        <v>0.48375000000000001</v>
      </c>
      <c r="M17">
        <v>0.18843299999999999</v>
      </c>
      <c r="N17">
        <v>251</v>
      </c>
      <c r="O17">
        <v>953</v>
      </c>
      <c r="P17">
        <v>1204</v>
      </c>
    </row>
    <row r="18" spans="1:16" x14ac:dyDescent="0.3">
      <c r="A18">
        <v>17</v>
      </c>
      <c r="B18" s="1">
        <v>40560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>
        <v>0.17583299999999999</v>
      </c>
      <c r="K18">
        <v>0.17677100000000001</v>
      </c>
      <c r="L18">
        <v>0.53749999999999998</v>
      </c>
      <c r="M18">
        <v>0.194017</v>
      </c>
      <c r="N18">
        <v>117</v>
      </c>
      <c r="O18">
        <v>883</v>
      </c>
      <c r="P18">
        <v>1000</v>
      </c>
    </row>
    <row r="19" spans="1:16" x14ac:dyDescent="0.3">
      <c r="A19">
        <v>18</v>
      </c>
      <c r="B19" s="1">
        <v>40561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0.216667</v>
      </c>
      <c r="K19">
        <v>0.23233300000000001</v>
      </c>
      <c r="L19">
        <v>0.86166699999999996</v>
      </c>
      <c r="M19">
        <v>0.14677499999999999</v>
      </c>
      <c r="N19">
        <v>9</v>
      </c>
      <c r="O19">
        <v>674</v>
      </c>
      <c r="P19">
        <v>683</v>
      </c>
    </row>
    <row r="20" spans="1:16" x14ac:dyDescent="0.3">
      <c r="A20">
        <v>19</v>
      </c>
      <c r="B20" s="1">
        <v>40562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>
        <v>0.29217399999999999</v>
      </c>
      <c r="K20">
        <v>0.29842200000000002</v>
      </c>
      <c r="L20">
        <v>0.74173900000000004</v>
      </c>
      <c r="M20">
        <v>0.208317</v>
      </c>
      <c r="N20">
        <v>78</v>
      </c>
      <c r="O20">
        <v>1572</v>
      </c>
      <c r="P20">
        <v>1650</v>
      </c>
    </row>
    <row r="21" spans="1:16" x14ac:dyDescent="0.3">
      <c r="A21">
        <v>20</v>
      </c>
      <c r="B21" s="1">
        <v>40563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>
        <v>0.26166699999999998</v>
      </c>
      <c r="K21">
        <v>0.25505</v>
      </c>
      <c r="L21">
        <v>0.53833299999999995</v>
      </c>
      <c r="M21">
        <v>0.19590399999999999</v>
      </c>
      <c r="N21">
        <v>83</v>
      </c>
      <c r="O21">
        <v>1844</v>
      </c>
      <c r="P21">
        <v>1927</v>
      </c>
    </row>
    <row r="22" spans="1:16" x14ac:dyDescent="0.3">
      <c r="A22">
        <v>21</v>
      </c>
      <c r="B22" s="1">
        <v>40564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>
        <v>0.17749999999999999</v>
      </c>
      <c r="K22">
        <v>0.157833</v>
      </c>
      <c r="L22">
        <v>0.45708300000000002</v>
      </c>
      <c r="M22">
        <v>0.353242</v>
      </c>
      <c r="N22">
        <v>75</v>
      </c>
      <c r="O22">
        <v>1468</v>
      </c>
      <c r="P22">
        <v>1543</v>
      </c>
    </row>
    <row r="23" spans="1:16" x14ac:dyDescent="0.3">
      <c r="A23">
        <v>22</v>
      </c>
      <c r="B23" s="1">
        <v>40565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>
        <v>5.91304E-2</v>
      </c>
      <c r="K23">
        <v>7.9069600000000004E-2</v>
      </c>
      <c r="L23">
        <v>0.4</v>
      </c>
      <c r="M23">
        <v>0.17197000000000001</v>
      </c>
      <c r="N23">
        <v>93</v>
      </c>
      <c r="O23">
        <v>888</v>
      </c>
      <c r="P23">
        <v>981</v>
      </c>
    </row>
    <row r="24" spans="1:16" x14ac:dyDescent="0.3">
      <c r="A24">
        <v>23</v>
      </c>
      <c r="B24" s="1">
        <v>40566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9.6521700000000002E-2</v>
      </c>
      <c r="K24">
        <v>9.8839099999999999E-2</v>
      </c>
      <c r="L24">
        <v>0.43652200000000002</v>
      </c>
      <c r="M24">
        <v>0.24660000000000001</v>
      </c>
      <c r="N24">
        <v>150</v>
      </c>
      <c r="O24">
        <v>836</v>
      </c>
      <c r="P24">
        <v>986</v>
      </c>
    </row>
    <row r="25" spans="1:16" x14ac:dyDescent="0.3">
      <c r="A25">
        <v>24</v>
      </c>
      <c r="B25" s="1">
        <v>40567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9.73913E-2</v>
      </c>
      <c r="K25">
        <v>0.11792999999999999</v>
      </c>
      <c r="L25">
        <v>0.49173899999999998</v>
      </c>
      <c r="M25">
        <v>0.15833</v>
      </c>
      <c r="N25">
        <v>86</v>
      </c>
      <c r="O25">
        <v>1330</v>
      </c>
      <c r="P25">
        <v>1416</v>
      </c>
    </row>
    <row r="26" spans="1:16" x14ac:dyDescent="0.3">
      <c r="A26">
        <v>25</v>
      </c>
      <c r="B26" s="1">
        <v>40568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>
        <v>0.22347800000000001</v>
      </c>
      <c r="K26">
        <v>0.23452600000000001</v>
      </c>
      <c r="L26">
        <v>0.61695699999999998</v>
      </c>
      <c r="M26">
        <v>0.12979599999999999</v>
      </c>
      <c r="N26">
        <v>186</v>
      </c>
      <c r="O26">
        <v>1799</v>
      </c>
      <c r="P26">
        <v>1985</v>
      </c>
    </row>
    <row r="27" spans="1:16" x14ac:dyDescent="0.3">
      <c r="A27">
        <v>26</v>
      </c>
      <c r="B27" s="1">
        <v>40569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>
        <v>0.2175</v>
      </c>
      <c r="K27">
        <v>0.2036</v>
      </c>
      <c r="L27">
        <v>0.86250000000000004</v>
      </c>
      <c r="M27">
        <v>0.29385</v>
      </c>
      <c r="N27">
        <v>34</v>
      </c>
      <c r="O27">
        <v>472</v>
      </c>
      <c r="P27">
        <v>506</v>
      </c>
    </row>
    <row r="28" spans="1:16" x14ac:dyDescent="0.3">
      <c r="A28">
        <v>27</v>
      </c>
      <c r="B28" s="1">
        <v>40570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>
        <v>0.19500000000000001</v>
      </c>
      <c r="K28">
        <v>0.21970000000000001</v>
      </c>
      <c r="L28">
        <v>0.6875</v>
      </c>
      <c r="M28">
        <v>0.11383699999999999</v>
      </c>
      <c r="N28">
        <v>15</v>
      </c>
      <c r="O28">
        <v>416</v>
      </c>
      <c r="P28">
        <v>431</v>
      </c>
    </row>
    <row r="29" spans="1:16" x14ac:dyDescent="0.3">
      <c r="A29">
        <v>28</v>
      </c>
      <c r="B29" s="1">
        <v>40571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>
        <v>0.20347799999999999</v>
      </c>
      <c r="K29">
        <v>0.22331699999999999</v>
      </c>
      <c r="L29">
        <v>0.79304300000000005</v>
      </c>
      <c r="M29">
        <v>0.12330000000000001</v>
      </c>
      <c r="N29">
        <v>38</v>
      </c>
      <c r="O29">
        <v>1129</v>
      </c>
      <c r="P29">
        <v>1167</v>
      </c>
    </row>
    <row r="30" spans="1:16" x14ac:dyDescent="0.3">
      <c r="A30">
        <v>29</v>
      </c>
      <c r="B30" s="1">
        <v>40572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>
        <v>0.196522</v>
      </c>
      <c r="K30">
        <v>0.21212600000000001</v>
      </c>
      <c r="L30">
        <v>0.65173899999999996</v>
      </c>
      <c r="M30">
        <v>0.14536499999999999</v>
      </c>
      <c r="N30">
        <v>123</v>
      </c>
      <c r="O30">
        <v>975</v>
      </c>
      <c r="P30">
        <v>1098</v>
      </c>
    </row>
    <row r="31" spans="1:16" x14ac:dyDescent="0.3">
      <c r="A31">
        <v>30</v>
      </c>
      <c r="B31" s="1">
        <v>40573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0.21652199999999999</v>
      </c>
      <c r="K31">
        <v>0.25032199999999999</v>
      </c>
      <c r="L31">
        <v>0.72217399999999998</v>
      </c>
      <c r="M31">
        <v>7.3982599999999996E-2</v>
      </c>
      <c r="N31">
        <v>140</v>
      </c>
      <c r="O31">
        <v>956</v>
      </c>
      <c r="P31">
        <v>1096</v>
      </c>
    </row>
    <row r="32" spans="1:16" x14ac:dyDescent="0.3">
      <c r="A32">
        <v>31</v>
      </c>
      <c r="B32" s="1">
        <v>40574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>
        <v>0.18083299999999999</v>
      </c>
      <c r="K32">
        <v>0.18625</v>
      </c>
      <c r="L32">
        <v>0.60375000000000001</v>
      </c>
      <c r="M32">
        <v>0.187192</v>
      </c>
      <c r="N32">
        <v>42</v>
      </c>
      <c r="O32">
        <v>1459</v>
      </c>
      <c r="P32">
        <v>1501</v>
      </c>
    </row>
    <row r="33" spans="1:16" x14ac:dyDescent="0.3">
      <c r="A33">
        <v>32</v>
      </c>
      <c r="B33" s="1">
        <v>40575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>
        <v>0.19217400000000001</v>
      </c>
      <c r="K33">
        <v>0.23452999999999999</v>
      </c>
      <c r="L33">
        <v>0.829565</v>
      </c>
      <c r="M33">
        <v>5.3213000000000003E-2</v>
      </c>
      <c r="N33">
        <v>47</v>
      </c>
      <c r="O33">
        <v>1313</v>
      </c>
      <c r="P33">
        <v>1360</v>
      </c>
    </row>
    <row r="34" spans="1:16" x14ac:dyDescent="0.3">
      <c r="A34">
        <v>33</v>
      </c>
      <c r="B34" s="1">
        <v>40576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>
        <v>0.26</v>
      </c>
      <c r="K34">
        <v>0.254417</v>
      </c>
      <c r="L34">
        <v>0.77541700000000002</v>
      </c>
      <c r="M34">
        <v>0.26430799999999999</v>
      </c>
      <c r="N34">
        <v>72</v>
      </c>
      <c r="O34">
        <v>1454</v>
      </c>
      <c r="P34">
        <v>1526</v>
      </c>
    </row>
    <row r="35" spans="1:16" x14ac:dyDescent="0.3">
      <c r="A35">
        <v>34</v>
      </c>
      <c r="B35" s="1">
        <v>40577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>
        <v>0.18695700000000001</v>
      </c>
      <c r="K35">
        <v>0.17787800000000001</v>
      </c>
      <c r="L35">
        <v>0.43782599999999999</v>
      </c>
      <c r="M35">
        <v>0.277752</v>
      </c>
      <c r="N35">
        <v>61</v>
      </c>
      <c r="O35">
        <v>1489</v>
      </c>
      <c r="P35">
        <v>1550</v>
      </c>
    </row>
    <row r="36" spans="1:16" x14ac:dyDescent="0.3">
      <c r="A36">
        <v>35</v>
      </c>
      <c r="B36" s="1">
        <v>40578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>
        <v>0.21130399999999999</v>
      </c>
      <c r="K36">
        <v>0.22858700000000001</v>
      </c>
      <c r="L36">
        <v>0.58521699999999999</v>
      </c>
      <c r="M36">
        <v>0.12783900000000001</v>
      </c>
      <c r="N36">
        <v>88</v>
      </c>
      <c r="O36">
        <v>1620</v>
      </c>
      <c r="P36">
        <v>1708</v>
      </c>
    </row>
    <row r="37" spans="1:16" x14ac:dyDescent="0.3">
      <c r="A37">
        <v>36</v>
      </c>
      <c r="B37" s="1">
        <v>40579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>
        <v>0.23333300000000001</v>
      </c>
      <c r="K37">
        <v>0.243058</v>
      </c>
      <c r="L37">
        <v>0.92916699999999997</v>
      </c>
      <c r="M37">
        <v>0.161079</v>
      </c>
      <c r="N37">
        <v>100</v>
      </c>
      <c r="O37">
        <v>905</v>
      </c>
      <c r="P37">
        <v>1005</v>
      </c>
    </row>
    <row r="38" spans="1:16" x14ac:dyDescent="0.3">
      <c r="A38">
        <v>37</v>
      </c>
      <c r="B38" s="1">
        <v>40580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>
        <v>0.285833</v>
      </c>
      <c r="K38">
        <v>0.29167100000000001</v>
      </c>
      <c r="L38">
        <v>0.56833299999999998</v>
      </c>
      <c r="M38">
        <v>0.14180000000000001</v>
      </c>
      <c r="N38">
        <v>354</v>
      </c>
      <c r="O38">
        <v>1269</v>
      </c>
      <c r="P38">
        <v>1623</v>
      </c>
    </row>
    <row r="39" spans="1:16" x14ac:dyDescent="0.3">
      <c r="A39">
        <v>38</v>
      </c>
      <c r="B39" s="1">
        <v>40581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>
        <v>0.27166699999999999</v>
      </c>
      <c r="K39">
        <v>0.30365799999999998</v>
      </c>
      <c r="L39">
        <v>0.73833300000000002</v>
      </c>
      <c r="M39">
        <v>4.5408299999999999E-2</v>
      </c>
      <c r="N39">
        <v>120</v>
      </c>
      <c r="O39">
        <v>1592</v>
      </c>
      <c r="P39">
        <v>1712</v>
      </c>
    </row>
    <row r="40" spans="1:16" x14ac:dyDescent="0.3">
      <c r="A40">
        <v>39</v>
      </c>
      <c r="B40" s="1">
        <v>40582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>
        <v>0.220833</v>
      </c>
      <c r="K40">
        <v>0.19824600000000001</v>
      </c>
      <c r="L40">
        <v>0.53791699999999998</v>
      </c>
      <c r="M40">
        <v>0.36194999999999999</v>
      </c>
      <c r="N40">
        <v>64</v>
      </c>
      <c r="O40">
        <v>1466</v>
      </c>
      <c r="P40">
        <v>1530</v>
      </c>
    </row>
    <row r="41" spans="1:16" x14ac:dyDescent="0.3">
      <c r="A41">
        <v>40</v>
      </c>
      <c r="B41" s="1">
        <v>40583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>
        <v>0.13478299999999999</v>
      </c>
      <c r="K41">
        <v>0.14428299999999999</v>
      </c>
      <c r="L41">
        <v>0.49478299999999997</v>
      </c>
      <c r="M41">
        <v>0.18883900000000001</v>
      </c>
      <c r="N41">
        <v>53</v>
      </c>
      <c r="O41">
        <v>1552</v>
      </c>
      <c r="P41">
        <v>1605</v>
      </c>
    </row>
    <row r="42" spans="1:16" x14ac:dyDescent="0.3">
      <c r="A42">
        <v>41</v>
      </c>
      <c r="B42" s="1">
        <v>40584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>
        <v>0.144348</v>
      </c>
      <c r="K42">
        <v>0.14954799999999999</v>
      </c>
      <c r="L42">
        <v>0.43739099999999997</v>
      </c>
      <c r="M42">
        <v>0.22193499999999999</v>
      </c>
      <c r="N42">
        <v>47</v>
      </c>
      <c r="O42">
        <v>1491</v>
      </c>
      <c r="P42">
        <v>1538</v>
      </c>
    </row>
    <row r="43" spans="1:16" x14ac:dyDescent="0.3">
      <c r="A43">
        <v>42</v>
      </c>
      <c r="B43" s="1">
        <v>40585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>
        <v>0.18909100000000001</v>
      </c>
      <c r="K43">
        <v>0.213509</v>
      </c>
      <c r="L43">
        <v>0.50636400000000004</v>
      </c>
      <c r="M43">
        <v>0.10854999999999999</v>
      </c>
      <c r="N43">
        <v>149</v>
      </c>
      <c r="O43">
        <v>1597</v>
      </c>
      <c r="P43">
        <v>1746</v>
      </c>
    </row>
    <row r="44" spans="1:16" x14ac:dyDescent="0.3">
      <c r="A44">
        <v>43</v>
      </c>
      <c r="B44" s="1">
        <v>40586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>
        <v>0.2225</v>
      </c>
      <c r="K44">
        <v>0.23295399999999999</v>
      </c>
      <c r="L44">
        <v>0.54416699999999996</v>
      </c>
      <c r="M44">
        <v>0.20336699999999999</v>
      </c>
      <c r="N44">
        <v>288</v>
      </c>
      <c r="O44">
        <v>1184</v>
      </c>
      <c r="P44">
        <v>1472</v>
      </c>
    </row>
    <row r="45" spans="1:16" x14ac:dyDescent="0.3">
      <c r="A45">
        <v>44</v>
      </c>
      <c r="B45" s="1">
        <v>40587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0.31652200000000003</v>
      </c>
      <c r="K45">
        <v>0.32411299999999998</v>
      </c>
      <c r="L45">
        <v>0.45739099999999999</v>
      </c>
      <c r="M45">
        <v>0.26088299999999998</v>
      </c>
      <c r="N45">
        <v>397</v>
      </c>
      <c r="O45">
        <v>1192</v>
      </c>
      <c r="P45">
        <v>1589</v>
      </c>
    </row>
    <row r="46" spans="1:16" x14ac:dyDescent="0.3">
      <c r="A46">
        <v>45</v>
      </c>
      <c r="B46" s="1">
        <v>40588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>
        <v>0.41499999999999998</v>
      </c>
      <c r="K46">
        <v>0.39834999999999998</v>
      </c>
      <c r="L46">
        <v>0.37583299999999997</v>
      </c>
      <c r="M46">
        <v>0.417908</v>
      </c>
      <c r="N46">
        <v>208</v>
      </c>
      <c r="O46">
        <v>1705</v>
      </c>
      <c r="P46">
        <v>1913</v>
      </c>
    </row>
    <row r="47" spans="1:16" x14ac:dyDescent="0.3">
      <c r="A47">
        <v>46</v>
      </c>
      <c r="B47" s="1">
        <v>40589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>
        <v>0.26608700000000002</v>
      </c>
      <c r="K47">
        <v>0.254274</v>
      </c>
      <c r="L47">
        <v>0.31434800000000002</v>
      </c>
      <c r="M47">
        <v>0.29137400000000002</v>
      </c>
      <c r="N47">
        <v>140</v>
      </c>
      <c r="O47">
        <v>1675</v>
      </c>
      <c r="P47">
        <v>1815</v>
      </c>
    </row>
    <row r="48" spans="1:16" x14ac:dyDescent="0.3">
      <c r="A48">
        <v>47</v>
      </c>
      <c r="B48" s="1">
        <v>40590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>
        <v>0.31826100000000002</v>
      </c>
      <c r="K48">
        <v>0.31619999999999998</v>
      </c>
      <c r="L48">
        <v>0.42347800000000002</v>
      </c>
      <c r="M48">
        <v>0.25179099999999999</v>
      </c>
      <c r="N48">
        <v>218</v>
      </c>
      <c r="O48">
        <v>1897</v>
      </c>
      <c r="P48">
        <v>2115</v>
      </c>
    </row>
    <row r="49" spans="1:16" x14ac:dyDescent="0.3">
      <c r="A49">
        <v>48</v>
      </c>
      <c r="B49" s="1">
        <v>40591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>
        <v>0.43583300000000003</v>
      </c>
      <c r="K49">
        <v>0.42865799999999998</v>
      </c>
      <c r="L49">
        <v>0.505</v>
      </c>
      <c r="M49">
        <v>0.230104</v>
      </c>
      <c r="N49">
        <v>259</v>
      </c>
      <c r="O49">
        <v>2216</v>
      </c>
      <c r="P49">
        <v>2475</v>
      </c>
    </row>
    <row r="50" spans="1:16" x14ac:dyDescent="0.3">
      <c r="A50">
        <v>49</v>
      </c>
      <c r="B50" s="1">
        <v>40592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>
        <v>0.52166699999999999</v>
      </c>
      <c r="K50">
        <v>0.51198299999999997</v>
      </c>
      <c r="L50">
        <v>0.51666699999999999</v>
      </c>
      <c r="M50">
        <v>0.26492500000000002</v>
      </c>
      <c r="N50">
        <v>579</v>
      </c>
      <c r="O50">
        <v>2348</v>
      </c>
      <c r="P50">
        <v>2927</v>
      </c>
    </row>
    <row r="51" spans="1:16" x14ac:dyDescent="0.3">
      <c r="A51">
        <v>50</v>
      </c>
      <c r="B51" s="1">
        <v>40593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>
        <v>0.39916699999999999</v>
      </c>
      <c r="K51">
        <v>0.39140399999999997</v>
      </c>
      <c r="L51">
        <v>0.187917</v>
      </c>
      <c r="M51">
        <v>0.507463</v>
      </c>
      <c r="N51">
        <v>532</v>
      </c>
      <c r="O51">
        <v>1103</v>
      </c>
      <c r="P51">
        <v>1635</v>
      </c>
    </row>
    <row r="52" spans="1:16" x14ac:dyDescent="0.3">
      <c r="A52">
        <v>51</v>
      </c>
      <c r="B52" s="1">
        <v>40594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0.285217</v>
      </c>
      <c r="K52">
        <v>0.27733000000000002</v>
      </c>
      <c r="L52">
        <v>0.40782600000000002</v>
      </c>
      <c r="M52">
        <v>0.22323499999999999</v>
      </c>
      <c r="N52">
        <v>639</v>
      </c>
      <c r="O52">
        <v>1173</v>
      </c>
      <c r="P52">
        <v>1812</v>
      </c>
    </row>
    <row r="53" spans="1:16" x14ac:dyDescent="0.3">
      <c r="A53">
        <v>52</v>
      </c>
      <c r="B53" s="1">
        <v>40595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>
        <v>0.30333300000000002</v>
      </c>
      <c r="K53">
        <v>0.28407500000000002</v>
      </c>
      <c r="L53">
        <v>0.60499999999999998</v>
      </c>
      <c r="M53">
        <v>0.30784600000000001</v>
      </c>
      <c r="N53">
        <v>195</v>
      </c>
      <c r="O53">
        <v>912</v>
      </c>
      <c r="P53">
        <v>1107</v>
      </c>
    </row>
    <row r="54" spans="1:16" x14ac:dyDescent="0.3">
      <c r="A54">
        <v>53</v>
      </c>
      <c r="B54" s="1">
        <v>40596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>
        <v>0.182222</v>
      </c>
      <c r="K54">
        <v>0.186033</v>
      </c>
      <c r="L54">
        <v>0.57777800000000001</v>
      </c>
      <c r="M54">
        <v>0.195683</v>
      </c>
      <c r="N54">
        <v>74</v>
      </c>
      <c r="O54">
        <v>1376</v>
      </c>
      <c r="P54">
        <v>1450</v>
      </c>
    </row>
    <row r="55" spans="1:16" x14ac:dyDescent="0.3">
      <c r="A55">
        <v>54</v>
      </c>
      <c r="B55" s="1">
        <v>40597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>
        <v>0.22173899999999999</v>
      </c>
      <c r="K55">
        <v>0.24571699999999999</v>
      </c>
      <c r="L55">
        <v>0.423043</v>
      </c>
      <c r="M55">
        <v>9.4113000000000002E-2</v>
      </c>
      <c r="N55">
        <v>139</v>
      </c>
      <c r="O55">
        <v>1778</v>
      </c>
      <c r="P55">
        <v>1917</v>
      </c>
    </row>
    <row r="56" spans="1:16" x14ac:dyDescent="0.3">
      <c r="A56">
        <v>55</v>
      </c>
      <c r="B56" s="1">
        <v>40598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>
        <v>0.29565200000000003</v>
      </c>
      <c r="K56">
        <v>0.28919099999999998</v>
      </c>
      <c r="L56">
        <v>0.69739099999999998</v>
      </c>
      <c r="M56">
        <v>0.250496</v>
      </c>
      <c r="N56">
        <v>100</v>
      </c>
      <c r="O56">
        <v>1707</v>
      </c>
      <c r="P56">
        <v>1807</v>
      </c>
    </row>
    <row r="57" spans="1:16" x14ac:dyDescent="0.3">
      <c r="A57">
        <v>56</v>
      </c>
      <c r="B57" s="1">
        <v>40599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>
        <v>0.36434800000000001</v>
      </c>
      <c r="K57">
        <v>0.35046100000000002</v>
      </c>
      <c r="L57">
        <v>0.71217399999999997</v>
      </c>
      <c r="M57">
        <v>0.34653899999999999</v>
      </c>
      <c r="N57">
        <v>120</v>
      </c>
      <c r="O57">
        <v>1341</v>
      </c>
      <c r="P57">
        <v>1461</v>
      </c>
    </row>
    <row r="58" spans="1:16" x14ac:dyDescent="0.3">
      <c r="A58">
        <v>57</v>
      </c>
      <c r="B58" s="1">
        <v>40600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>
        <v>0.28249999999999997</v>
      </c>
      <c r="K58">
        <v>0.282192</v>
      </c>
      <c r="L58">
        <v>0.53791699999999998</v>
      </c>
      <c r="M58">
        <v>0.18657099999999999</v>
      </c>
      <c r="N58">
        <v>424</v>
      </c>
      <c r="O58">
        <v>1545</v>
      </c>
      <c r="P58">
        <v>1969</v>
      </c>
    </row>
    <row r="59" spans="1:16" x14ac:dyDescent="0.3">
      <c r="A59">
        <v>58</v>
      </c>
      <c r="B59" s="1">
        <v>40601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>
        <v>0.34347800000000001</v>
      </c>
      <c r="K59">
        <v>0.351109</v>
      </c>
      <c r="L59">
        <v>0.68</v>
      </c>
      <c r="M59">
        <v>0.125248</v>
      </c>
      <c r="N59">
        <v>694</v>
      </c>
      <c r="O59">
        <v>1708</v>
      </c>
      <c r="P59">
        <v>2402</v>
      </c>
    </row>
    <row r="60" spans="1:16" x14ac:dyDescent="0.3">
      <c r="A60">
        <v>59</v>
      </c>
      <c r="B60" s="1">
        <v>40602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>
        <v>0.407273</v>
      </c>
      <c r="K60">
        <v>0.40011799999999997</v>
      </c>
      <c r="L60">
        <v>0.87636400000000003</v>
      </c>
      <c r="M60">
        <v>0.289686</v>
      </c>
      <c r="N60">
        <v>81</v>
      </c>
      <c r="O60">
        <v>1365</v>
      </c>
      <c r="P60">
        <v>1446</v>
      </c>
    </row>
    <row r="61" spans="1:16" x14ac:dyDescent="0.3">
      <c r="A61">
        <v>60</v>
      </c>
      <c r="B61" s="1">
        <v>40603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>
        <v>0.26666699999999999</v>
      </c>
      <c r="K61">
        <v>0.26387899999999997</v>
      </c>
      <c r="L61">
        <v>0.53500000000000003</v>
      </c>
      <c r="M61">
        <v>0.21642500000000001</v>
      </c>
      <c r="N61">
        <v>137</v>
      </c>
      <c r="O61">
        <v>1714</v>
      </c>
      <c r="P61">
        <v>1851</v>
      </c>
    </row>
    <row r="62" spans="1:16" x14ac:dyDescent="0.3">
      <c r="A62">
        <v>61</v>
      </c>
      <c r="B62" s="1">
        <v>40604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>
        <v>0.33500000000000002</v>
      </c>
      <c r="K62">
        <v>0.32007099999999999</v>
      </c>
      <c r="L62">
        <v>0.44958300000000001</v>
      </c>
      <c r="M62">
        <v>0.30783300000000002</v>
      </c>
      <c r="N62">
        <v>231</v>
      </c>
      <c r="O62">
        <v>1903</v>
      </c>
      <c r="P62">
        <v>2134</v>
      </c>
    </row>
    <row r="63" spans="1:16" x14ac:dyDescent="0.3">
      <c r="A63">
        <v>62</v>
      </c>
      <c r="B63" s="1">
        <v>40605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>
        <v>0.19833300000000001</v>
      </c>
      <c r="K63">
        <v>0.20013300000000001</v>
      </c>
      <c r="L63">
        <v>0.31833299999999998</v>
      </c>
      <c r="M63">
        <v>0.22575400000000001</v>
      </c>
      <c r="N63">
        <v>123</v>
      </c>
      <c r="O63">
        <v>1562</v>
      </c>
      <c r="P63">
        <v>1685</v>
      </c>
    </row>
    <row r="64" spans="1:16" x14ac:dyDescent="0.3">
      <c r="A64">
        <v>63</v>
      </c>
      <c r="B64" s="1">
        <v>40606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>
        <v>0.26166699999999998</v>
      </c>
      <c r="K64">
        <v>0.25567899999999999</v>
      </c>
      <c r="L64">
        <v>0.61041699999999999</v>
      </c>
      <c r="M64">
        <v>0.203346</v>
      </c>
      <c r="N64">
        <v>214</v>
      </c>
      <c r="O64">
        <v>1730</v>
      </c>
      <c r="P64">
        <v>1944</v>
      </c>
    </row>
    <row r="65" spans="1:16" x14ac:dyDescent="0.3">
      <c r="A65">
        <v>64</v>
      </c>
      <c r="B65" s="1">
        <v>40607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>
        <v>0.38416699999999998</v>
      </c>
      <c r="K65">
        <v>0.37877899999999998</v>
      </c>
      <c r="L65">
        <v>0.78916699999999995</v>
      </c>
      <c r="M65">
        <v>0.25187100000000001</v>
      </c>
      <c r="N65">
        <v>640</v>
      </c>
      <c r="O65">
        <v>1437</v>
      </c>
      <c r="P65">
        <v>2077</v>
      </c>
    </row>
    <row r="66" spans="1:16" x14ac:dyDescent="0.3">
      <c r="A66">
        <v>65</v>
      </c>
      <c r="B66" s="1">
        <v>40608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>
        <v>0.37652200000000002</v>
      </c>
      <c r="K66">
        <v>0.36625200000000002</v>
      </c>
      <c r="L66">
        <v>0.94826100000000002</v>
      </c>
      <c r="M66">
        <v>0.34328700000000001</v>
      </c>
      <c r="N66">
        <v>114</v>
      </c>
      <c r="O66">
        <v>491</v>
      </c>
      <c r="P66">
        <v>605</v>
      </c>
    </row>
    <row r="67" spans="1:16" x14ac:dyDescent="0.3">
      <c r="A67">
        <v>66</v>
      </c>
      <c r="B67" s="1">
        <v>40609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>
        <v>0.261739</v>
      </c>
      <c r="K67">
        <v>0.23846100000000001</v>
      </c>
      <c r="L67">
        <v>0.55130400000000002</v>
      </c>
      <c r="M67">
        <v>0.34135199999999999</v>
      </c>
      <c r="N67">
        <v>244</v>
      </c>
      <c r="O67">
        <v>1628</v>
      </c>
      <c r="P67">
        <v>1872</v>
      </c>
    </row>
    <row r="68" spans="1:16" x14ac:dyDescent="0.3">
      <c r="A68">
        <v>67</v>
      </c>
      <c r="B68" s="1">
        <v>40610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>
        <v>0.29249999999999998</v>
      </c>
      <c r="K68">
        <v>0.3024</v>
      </c>
      <c r="L68">
        <v>0.42083300000000001</v>
      </c>
      <c r="M68">
        <v>0.12064999999999999</v>
      </c>
      <c r="N68">
        <v>316</v>
      </c>
      <c r="O68">
        <v>1817</v>
      </c>
      <c r="P68">
        <v>2133</v>
      </c>
    </row>
    <row r="69" spans="1:16" x14ac:dyDescent="0.3">
      <c r="A69">
        <v>68</v>
      </c>
      <c r="B69" s="1">
        <v>40611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>
        <v>0.29583300000000001</v>
      </c>
      <c r="K69">
        <v>0.28660799999999997</v>
      </c>
      <c r="L69">
        <v>0.77541700000000002</v>
      </c>
      <c r="M69">
        <v>0.22015000000000001</v>
      </c>
      <c r="N69">
        <v>191</v>
      </c>
      <c r="O69">
        <v>1700</v>
      </c>
      <c r="P69">
        <v>1891</v>
      </c>
    </row>
    <row r="70" spans="1:16" x14ac:dyDescent="0.3">
      <c r="A70">
        <v>69</v>
      </c>
      <c r="B70" s="1">
        <v>40612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>
        <v>0.38909100000000002</v>
      </c>
      <c r="K70">
        <v>0.38566800000000001</v>
      </c>
      <c r="L70">
        <v>0</v>
      </c>
      <c r="M70">
        <v>0.26187700000000003</v>
      </c>
      <c r="N70">
        <v>46</v>
      </c>
      <c r="O70">
        <v>577</v>
      </c>
      <c r="P70">
        <v>623</v>
      </c>
    </row>
    <row r="71" spans="1:16" x14ac:dyDescent="0.3">
      <c r="A71">
        <v>70</v>
      </c>
      <c r="B71" s="1">
        <v>40613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>
        <v>0.31652200000000003</v>
      </c>
      <c r="K71">
        <v>0.30499999999999999</v>
      </c>
      <c r="L71">
        <v>0.64956499999999995</v>
      </c>
      <c r="M71">
        <v>0.23297000000000001</v>
      </c>
      <c r="N71">
        <v>247</v>
      </c>
      <c r="O71">
        <v>1730</v>
      </c>
      <c r="P71">
        <v>1977</v>
      </c>
    </row>
    <row r="72" spans="1:16" x14ac:dyDescent="0.3">
      <c r="A72">
        <v>71</v>
      </c>
      <c r="B72" s="1">
        <v>40614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>
        <v>0.32916699999999999</v>
      </c>
      <c r="K72">
        <v>0.32574999999999998</v>
      </c>
      <c r="L72">
        <v>0.59458299999999997</v>
      </c>
      <c r="M72">
        <v>0.220775</v>
      </c>
      <c r="N72">
        <v>724</v>
      </c>
      <c r="O72">
        <v>1408</v>
      </c>
      <c r="P72">
        <v>2132</v>
      </c>
    </row>
    <row r="73" spans="1:16" x14ac:dyDescent="0.3">
      <c r="A73">
        <v>72</v>
      </c>
      <c r="B73" s="1">
        <v>40615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0.38434800000000002</v>
      </c>
      <c r="K73">
        <v>0.38009100000000001</v>
      </c>
      <c r="L73">
        <v>0.52739100000000005</v>
      </c>
      <c r="M73">
        <v>0.27060400000000001</v>
      </c>
      <c r="N73">
        <v>982</v>
      </c>
      <c r="O73">
        <v>1435</v>
      </c>
      <c r="P73">
        <v>2417</v>
      </c>
    </row>
    <row r="74" spans="1:16" x14ac:dyDescent="0.3">
      <c r="A74">
        <v>73</v>
      </c>
      <c r="B74" s="1">
        <v>40616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>
        <v>0.32521699999999998</v>
      </c>
      <c r="K74">
        <v>0.33200000000000002</v>
      </c>
      <c r="L74">
        <v>0.49695699999999998</v>
      </c>
      <c r="M74">
        <v>0.13692599999999999</v>
      </c>
      <c r="N74">
        <v>359</v>
      </c>
      <c r="O74">
        <v>1687</v>
      </c>
      <c r="P74">
        <v>2046</v>
      </c>
    </row>
    <row r="75" spans="1:16" x14ac:dyDescent="0.3">
      <c r="A75">
        <v>74</v>
      </c>
      <c r="B75" s="1">
        <v>40617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>
        <v>0.31739099999999998</v>
      </c>
      <c r="K75">
        <v>0.31817800000000002</v>
      </c>
      <c r="L75">
        <v>0.65565200000000001</v>
      </c>
      <c r="M75">
        <v>0.184309</v>
      </c>
      <c r="N75">
        <v>289</v>
      </c>
      <c r="O75">
        <v>1767</v>
      </c>
      <c r="P75">
        <v>2056</v>
      </c>
    </row>
    <row r="76" spans="1:16" x14ac:dyDescent="0.3">
      <c r="A76">
        <v>75</v>
      </c>
      <c r="B76" s="1">
        <v>40618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0.36521700000000001</v>
      </c>
      <c r="K76">
        <v>0.36692999999999998</v>
      </c>
      <c r="L76">
        <v>0.77652200000000005</v>
      </c>
      <c r="M76">
        <v>0.20311699999999999</v>
      </c>
      <c r="N76">
        <v>321</v>
      </c>
      <c r="O76">
        <v>1871</v>
      </c>
      <c r="P76">
        <v>2192</v>
      </c>
    </row>
    <row r="77" spans="1:16" x14ac:dyDescent="0.3">
      <c r="A77">
        <v>76</v>
      </c>
      <c r="B77" s="1">
        <v>40619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>
        <v>0.41499999999999998</v>
      </c>
      <c r="K77">
        <v>0.410333</v>
      </c>
      <c r="L77">
        <v>0.60291700000000004</v>
      </c>
      <c r="M77">
        <v>0.20957899999999999</v>
      </c>
      <c r="N77">
        <v>424</v>
      </c>
      <c r="O77">
        <v>2320</v>
      </c>
      <c r="P77">
        <v>2744</v>
      </c>
    </row>
    <row r="78" spans="1:16" x14ac:dyDescent="0.3">
      <c r="A78">
        <v>77</v>
      </c>
      <c r="B78" s="1">
        <v>40620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>
        <v>0.54</v>
      </c>
      <c r="K78">
        <v>0.52700899999999995</v>
      </c>
      <c r="L78">
        <v>0.52521700000000004</v>
      </c>
      <c r="M78">
        <v>0.231017</v>
      </c>
      <c r="N78">
        <v>884</v>
      </c>
      <c r="O78">
        <v>2355</v>
      </c>
      <c r="P78">
        <v>3239</v>
      </c>
    </row>
    <row r="79" spans="1:16" x14ac:dyDescent="0.3">
      <c r="A79">
        <v>78</v>
      </c>
      <c r="B79" s="1">
        <v>40621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>
        <v>0.47249999999999998</v>
      </c>
      <c r="K79">
        <v>0.46652500000000002</v>
      </c>
      <c r="L79">
        <v>0.37916699999999998</v>
      </c>
      <c r="M79">
        <v>0.36816700000000002</v>
      </c>
      <c r="N79">
        <v>1424</v>
      </c>
      <c r="O79">
        <v>1693</v>
      </c>
      <c r="P79">
        <v>3117</v>
      </c>
    </row>
    <row r="80" spans="1:16" x14ac:dyDescent="0.3">
      <c r="A80">
        <v>79</v>
      </c>
      <c r="B80" s="1">
        <v>40622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>
        <v>0.33250000000000002</v>
      </c>
      <c r="K80">
        <v>0.32574999999999998</v>
      </c>
      <c r="L80">
        <v>0.47375</v>
      </c>
      <c r="M80">
        <v>0.20772099999999999</v>
      </c>
      <c r="N80">
        <v>1047</v>
      </c>
      <c r="O80">
        <v>1424</v>
      </c>
      <c r="P80">
        <v>2471</v>
      </c>
    </row>
    <row r="81" spans="1:16" x14ac:dyDescent="0.3">
      <c r="A81">
        <v>80</v>
      </c>
      <c r="B81" s="1">
        <v>40623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>
        <v>0.43043500000000001</v>
      </c>
      <c r="K81">
        <v>0.40973500000000002</v>
      </c>
      <c r="L81">
        <v>0.73739100000000002</v>
      </c>
      <c r="M81">
        <v>0.28878300000000001</v>
      </c>
      <c r="N81">
        <v>401</v>
      </c>
      <c r="O81">
        <v>1676</v>
      </c>
      <c r="P81">
        <v>2077</v>
      </c>
    </row>
    <row r="82" spans="1:16" x14ac:dyDescent="0.3">
      <c r="A82">
        <v>81</v>
      </c>
      <c r="B82" s="1">
        <v>40624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>
        <v>0.44166699999999998</v>
      </c>
      <c r="K82">
        <v>0.44064199999999998</v>
      </c>
      <c r="L82">
        <v>0.624583</v>
      </c>
      <c r="M82">
        <v>0.22575000000000001</v>
      </c>
      <c r="N82">
        <v>460</v>
      </c>
      <c r="O82">
        <v>2243</v>
      </c>
      <c r="P82">
        <v>2703</v>
      </c>
    </row>
    <row r="83" spans="1:16" x14ac:dyDescent="0.3">
      <c r="A83">
        <v>82</v>
      </c>
      <c r="B83" s="1">
        <v>40625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>
        <v>0.34695700000000002</v>
      </c>
      <c r="K83">
        <v>0.33793899999999999</v>
      </c>
      <c r="L83">
        <v>0.83956500000000001</v>
      </c>
      <c r="M83">
        <v>0.234261</v>
      </c>
      <c r="N83">
        <v>203</v>
      </c>
      <c r="O83">
        <v>1918</v>
      </c>
      <c r="P83">
        <v>2121</v>
      </c>
    </row>
    <row r="84" spans="1:16" x14ac:dyDescent="0.3">
      <c r="A84">
        <v>83</v>
      </c>
      <c r="B84" s="1">
        <v>40626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>
        <v>0.28499999999999998</v>
      </c>
      <c r="K84">
        <v>0.27083299999999999</v>
      </c>
      <c r="L84">
        <v>0.80583300000000002</v>
      </c>
      <c r="M84">
        <v>0.243787</v>
      </c>
      <c r="N84">
        <v>166</v>
      </c>
      <c r="O84">
        <v>1699</v>
      </c>
      <c r="P84">
        <v>1865</v>
      </c>
    </row>
    <row r="85" spans="1:16" x14ac:dyDescent="0.3">
      <c r="A85">
        <v>84</v>
      </c>
      <c r="B85" s="1">
        <v>40627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>
        <v>0.26416699999999999</v>
      </c>
      <c r="K85">
        <v>0.25631199999999998</v>
      </c>
      <c r="L85">
        <v>0.495</v>
      </c>
      <c r="M85">
        <v>0.23072500000000001</v>
      </c>
      <c r="N85">
        <v>300</v>
      </c>
      <c r="O85">
        <v>1910</v>
      </c>
      <c r="P85">
        <v>2210</v>
      </c>
    </row>
    <row r="86" spans="1:16" x14ac:dyDescent="0.3">
      <c r="A86">
        <v>85</v>
      </c>
      <c r="B86" s="1">
        <v>40628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>
        <v>0.26583299999999999</v>
      </c>
      <c r="K86">
        <v>0.25757099999999999</v>
      </c>
      <c r="L86">
        <v>0.39416699999999999</v>
      </c>
      <c r="M86">
        <v>0.20957100000000001</v>
      </c>
      <c r="N86">
        <v>981</v>
      </c>
      <c r="O86">
        <v>1515</v>
      </c>
      <c r="P86">
        <v>2496</v>
      </c>
    </row>
    <row r="87" spans="1:16" x14ac:dyDescent="0.3">
      <c r="A87">
        <v>86</v>
      </c>
      <c r="B87" s="1">
        <v>40629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>
        <v>0.25304300000000002</v>
      </c>
      <c r="K87">
        <v>0.25033899999999998</v>
      </c>
      <c r="L87">
        <v>0.49391299999999999</v>
      </c>
      <c r="M87">
        <v>0.18429999999999999</v>
      </c>
      <c r="N87">
        <v>472</v>
      </c>
      <c r="O87">
        <v>1221</v>
      </c>
      <c r="P87">
        <v>1693</v>
      </c>
    </row>
    <row r="88" spans="1:16" x14ac:dyDescent="0.3">
      <c r="A88">
        <v>87</v>
      </c>
      <c r="B88" s="1">
        <v>40630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>
        <v>0.26434800000000003</v>
      </c>
      <c r="K88">
        <v>0.25757400000000003</v>
      </c>
      <c r="L88">
        <v>0.302174</v>
      </c>
      <c r="M88">
        <v>0.212204</v>
      </c>
      <c r="N88">
        <v>222</v>
      </c>
      <c r="O88">
        <v>1806</v>
      </c>
      <c r="P88">
        <v>2028</v>
      </c>
    </row>
    <row r="89" spans="1:16" x14ac:dyDescent="0.3">
      <c r="A89">
        <v>88</v>
      </c>
      <c r="B89" s="1">
        <v>40631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>
        <v>0.30249999999999999</v>
      </c>
      <c r="K89">
        <v>0.292908</v>
      </c>
      <c r="L89">
        <v>0.31416699999999997</v>
      </c>
      <c r="M89">
        <v>0.226996</v>
      </c>
      <c r="N89">
        <v>317</v>
      </c>
      <c r="O89">
        <v>2108</v>
      </c>
      <c r="P89">
        <v>2425</v>
      </c>
    </row>
    <row r="90" spans="1:16" x14ac:dyDescent="0.3">
      <c r="A90">
        <v>89</v>
      </c>
      <c r="B90" s="1">
        <v>40632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>
        <v>0.3</v>
      </c>
      <c r="K90">
        <v>0.29735</v>
      </c>
      <c r="L90">
        <v>0.64666699999999999</v>
      </c>
      <c r="M90">
        <v>0.17288799999999999</v>
      </c>
      <c r="N90">
        <v>168</v>
      </c>
      <c r="O90">
        <v>1368</v>
      </c>
      <c r="P90">
        <v>1536</v>
      </c>
    </row>
    <row r="91" spans="1:16" x14ac:dyDescent="0.3">
      <c r="A91">
        <v>90</v>
      </c>
      <c r="B91" s="1">
        <v>40633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>
        <v>0.26833299999999999</v>
      </c>
      <c r="K91">
        <v>0.257575</v>
      </c>
      <c r="L91">
        <v>0.91833299999999995</v>
      </c>
      <c r="M91">
        <v>0.21764600000000001</v>
      </c>
      <c r="N91">
        <v>179</v>
      </c>
      <c r="O91">
        <v>1506</v>
      </c>
      <c r="P91">
        <v>1685</v>
      </c>
    </row>
    <row r="92" spans="1:16" x14ac:dyDescent="0.3">
      <c r="A92">
        <v>91</v>
      </c>
      <c r="B92" s="1">
        <v>40634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>
        <v>0.3</v>
      </c>
      <c r="K92">
        <v>0.28345399999999998</v>
      </c>
      <c r="L92">
        <v>0.68625000000000003</v>
      </c>
      <c r="M92">
        <v>0.25870799999999999</v>
      </c>
      <c r="N92">
        <v>307</v>
      </c>
      <c r="O92">
        <v>1920</v>
      </c>
      <c r="P92">
        <v>2227</v>
      </c>
    </row>
    <row r="93" spans="1:16" x14ac:dyDescent="0.3">
      <c r="A93">
        <v>92</v>
      </c>
      <c r="B93" s="1">
        <v>40635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>
        <v>0.315</v>
      </c>
      <c r="K93">
        <v>0.315637</v>
      </c>
      <c r="L93">
        <v>0.65375000000000005</v>
      </c>
      <c r="M93">
        <v>0.19714599999999999</v>
      </c>
      <c r="N93">
        <v>898</v>
      </c>
      <c r="O93">
        <v>1354</v>
      </c>
      <c r="P93">
        <v>2252</v>
      </c>
    </row>
    <row r="94" spans="1:16" x14ac:dyDescent="0.3">
      <c r="A94">
        <v>93</v>
      </c>
      <c r="B94" s="1">
        <v>40636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>
        <v>0.37833299999999997</v>
      </c>
      <c r="K94">
        <v>0.37876700000000002</v>
      </c>
      <c r="L94">
        <v>0.48</v>
      </c>
      <c r="M94">
        <v>0.18221300000000001</v>
      </c>
      <c r="N94">
        <v>1651</v>
      </c>
      <c r="O94">
        <v>1598</v>
      </c>
      <c r="P94">
        <v>3249</v>
      </c>
    </row>
    <row r="95" spans="1:16" x14ac:dyDescent="0.3">
      <c r="A95">
        <v>94</v>
      </c>
      <c r="B95" s="1">
        <v>40637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>
        <v>0.57333299999999998</v>
      </c>
      <c r="K95">
        <v>0.54292899999999999</v>
      </c>
      <c r="L95">
        <v>0.42625000000000002</v>
      </c>
      <c r="M95">
        <v>0.385571</v>
      </c>
      <c r="N95">
        <v>734</v>
      </c>
      <c r="O95">
        <v>2381</v>
      </c>
      <c r="P95">
        <v>3115</v>
      </c>
    </row>
    <row r="96" spans="1:16" x14ac:dyDescent="0.3">
      <c r="A96">
        <v>95</v>
      </c>
      <c r="B96" s="1">
        <v>40638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>
        <v>0.41416700000000001</v>
      </c>
      <c r="K96">
        <v>0.39834999999999998</v>
      </c>
      <c r="L96">
        <v>0.64208299999999996</v>
      </c>
      <c r="M96">
        <v>0.388067</v>
      </c>
      <c r="N96">
        <v>167</v>
      </c>
      <c r="O96">
        <v>1628</v>
      </c>
      <c r="P96">
        <v>1795</v>
      </c>
    </row>
    <row r="97" spans="1:16" x14ac:dyDescent="0.3">
      <c r="A97">
        <v>96</v>
      </c>
      <c r="B97" s="1">
        <v>40639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>
        <v>0.39083299999999999</v>
      </c>
      <c r="K97">
        <v>0.38760800000000001</v>
      </c>
      <c r="L97">
        <v>0.470833</v>
      </c>
      <c r="M97">
        <v>0.26306299999999999</v>
      </c>
      <c r="N97">
        <v>413</v>
      </c>
      <c r="O97">
        <v>2395</v>
      </c>
      <c r="P97">
        <v>2808</v>
      </c>
    </row>
    <row r="98" spans="1:16" x14ac:dyDescent="0.3">
      <c r="A98">
        <v>97</v>
      </c>
      <c r="B98" s="1">
        <v>40640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>
        <v>0.4375</v>
      </c>
      <c r="K98">
        <v>0.43369600000000003</v>
      </c>
      <c r="L98">
        <v>0.60291700000000004</v>
      </c>
      <c r="M98">
        <v>0.16231200000000001</v>
      </c>
      <c r="N98">
        <v>571</v>
      </c>
      <c r="O98">
        <v>2570</v>
      </c>
      <c r="P98">
        <v>3141</v>
      </c>
    </row>
    <row r="99" spans="1:16" x14ac:dyDescent="0.3">
      <c r="A99">
        <v>98</v>
      </c>
      <c r="B99" s="1">
        <v>40641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>
        <v>0.33583299999999999</v>
      </c>
      <c r="K99">
        <v>0.32447900000000002</v>
      </c>
      <c r="L99">
        <v>0.83625000000000005</v>
      </c>
      <c r="M99">
        <v>0.226992</v>
      </c>
      <c r="N99">
        <v>172</v>
      </c>
      <c r="O99">
        <v>1299</v>
      </c>
      <c r="P99">
        <v>1471</v>
      </c>
    </row>
    <row r="100" spans="1:16" x14ac:dyDescent="0.3">
      <c r="A100">
        <v>99</v>
      </c>
      <c r="B100" s="1">
        <v>40642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>
        <v>0.34250000000000003</v>
      </c>
      <c r="K100">
        <v>0.34152900000000003</v>
      </c>
      <c r="L100">
        <v>0.87749999999999995</v>
      </c>
      <c r="M100">
        <v>0.13308300000000001</v>
      </c>
      <c r="N100">
        <v>879</v>
      </c>
      <c r="O100">
        <v>1576</v>
      </c>
      <c r="P100">
        <v>2455</v>
      </c>
    </row>
    <row r="101" spans="1:16" x14ac:dyDescent="0.3">
      <c r="A101">
        <v>100</v>
      </c>
      <c r="B101" s="1">
        <v>40643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>
        <v>0.42666700000000002</v>
      </c>
      <c r="K101">
        <v>0.42673699999999998</v>
      </c>
      <c r="L101">
        <v>0.85750000000000004</v>
      </c>
      <c r="M101">
        <v>0.14676700000000001</v>
      </c>
      <c r="N101">
        <v>1188</v>
      </c>
      <c r="O101">
        <v>1707</v>
      </c>
      <c r="P101">
        <v>2895</v>
      </c>
    </row>
    <row r="102" spans="1:16" x14ac:dyDescent="0.3">
      <c r="A102">
        <v>101</v>
      </c>
      <c r="B102" s="1">
        <v>40644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>
        <v>0.59565199999999996</v>
      </c>
      <c r="K102">
        <v>0.56521699999999997</v>
      </c>
      <c r="L102">
        <v>0.71695600000000004</v>
      </c>
      <c r="M102">
        <v>0.32447399999999998</v>
      </c>
      <c r="N102">
        <v>855</v>
      </c>
      <c r="O102">
        <v>2493</v>
      </c>
      <c r="P102">
        <v>3348</v>
      </c>
    </row>
    <row r="103" spans="1:16" x14ac:dyDescent="0.3">
      <c r="A103">
        <v>102</v>
      </c>
      <c r="B103" s="1">
        <v>40645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>
        <v>0.50249999999999995</v>
      </c>
      <c r="K103">
        <v>0.49305399999999999</v>
      </c>
      <c r="L103">
        <v>0.73916700000000002</v>
      </c>
      <c r="M103">
        <v>0.27487899999999998</v>
      </c>
      <c r="N103">
        <v>257</v>
      </c>
      <c r="O103">
        <v>1777</v>
      </c>
      <c r="P103">
        <v>2034</v>
      </c>
    </row>
    <row r="104" spans="1:16" x14ac:dyDescent="0.3">
      <c r="A104">
        <v>103</v>
      </c>
      <c r="B104" s="1">
        <v>40646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>
        <v>0.41249999999999998</v>
      </c>
      <c r="K104">
        <v>0.41728300000000002</v>
      </c>
      <c r="L104">
        <v>0.81916699999999998</v>
      </c>
      <c r="M104">
        <v>0.25061699999999998</v>
      </c>
      <c r="N104">
        <v>209</v>
      </c>
      <c r="O104">
        <v>1953</v>
      </c>
      <c r="P104">
        <v>2162</v>
      </c>
    </row>
    <row r="105" spans="1:16" x14ac:dyDescent="0.3">
      <c r="A105">
        <v>104</v>
      </c>
      <c r="B105" s="1">
        <v>40647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>
        <v>0.46750000000000003</v>
      </c>
      <c r="K105">
        <v>0.46274199999999999</v>
      </c>
      <c r="L105">
        <v>0.54041700000000004</v>
      </c>
      <c r="M105">
        <v>0.11070000000000001</v>
      </c>
      <c r="N105">
        <v>529</v>
      </c>
      <c r="O105">
        <v>2738</v>
      </c>
      <c r="P105">
        <v>3267</v>
      </c>
    </row>
    <row r="106" spans="1:16" x14ac:dyDescent="0.3">
      <c r="A106">
        <v>105</v>
      </c>
      <c r="B106" s="1">
        <v>40648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>
        <v>0.44666699999999998</v>
      </c>
      <c r="K106">
        <v>0.441913</v>
      </c>
      <c r="L106">
        <v>0.67125000000000001</v>
      </c>
      <c r="M106">
        <v>0.22637499999999999</v>
      </c>
      <c r="N106">
        <v>642</v>
      </c>
      <c r="O106">
        <v>2484</v>
      </c>
      <c r="P106">
        <v>3126</v>
      </c>
    </row>
    <row r="107" spans="1:16" x14ac:dyDescent="0.3">
      <c r="A107">
        <v>106</v>
      </c>
      <c r="B107" s="1">
        <v>40649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>
        <v>0.43083300000000002</v>
      </c>
      <c r="K107">
        <v>0.42549199999999998</v>
      </c>
      <c r="L107">
        <v>0.88833300000000004</v>
      </c>
      <c r="M107">
        <v>0.340808</v>
      </c>
      <c r="N107">
        <v>121</v>
      </c>
      <c r="O107">
        <v>674</v>
      </c>
      <c r="P107">
        <v>795</v>
      </c>
    </row>
    <row r="108" spans="1:16" x14ac:dyDescent="0.3">
      <c r="A108">
        <v>107</v>
      </c>
      <c r="B108" s="1">
        <v>40650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>
        <v>0.45666699999999999</v>
      </c>
      <c r="K108">
        <v>0.44569599999999998</v>
      </c>
      <c r="L108">
        <v>0.47958299999999998</v>
      </c>
      <c r="M108">
        <v>0.30349599999999999</v>
      </c>
      <c r="N108">
        <v>1558</v>
      </c>
      <c r="O108">
        <v>2186</v>
      </c>
      <c r="P108">
        <v>3744</v>
      </c>
    </row>
    <row r="109" spans="1:16" x14ac:dyDescent="0.3">
      <c r="A109">
        <v>108</v>
      </c>
      <c r="B109" s="1">
        <v>40651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>
        <v>0.51249999999999996</v>
      </c>
      <c r="K109">
        <v>0.50314599999999998</v>
      </c>
      <c r="L109">
        <v>0.54249999999999998</v>
      </c>
      <c r="M109">
        <v>0.16356699999999999</v>
      </c>
      <c r="N109">
        <v>669</v>
      </c>
      <c r="O109">
        <v>2760</v>
      </c>
      <c r="P109">
        <v>3429</v>
      </c>
    </row>
    <row r="110" spans="1:16" x14ac:dyDescent="0.3">
      <c r="A110">
        <v>109</v>
      </c>
      <c r="B110" s="1">
        <v>40652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>
        <v>0.50583299999999998</v>
      </c>
      <c r="K110">
        <v>0.48925800000000003</v>
      </c>
      <c r="L110">
        <v>0.66583300000000001</v>
      </c>
      <c r="M110">
        <v>0.157971</v>
      </c>
      <c r="N110">
        <v>409</v>
      </c>
      <c r="O110">
        <v>2795</v>
      </c>
      <c r="P110">
        <v>3204</v>
      </c>
    </row>
    <row r="111" spans="1:16" x14ac:dyDescent="0.3">
      <c r="A111">
        <v>110</v>
      </c>
      <c r="B111" s="1">
        <v>40653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>
        <v>0.59499999999999997</v>
      </c>
      <c r="K111">
        <v>0.564392</v>
      </c>
      <c r="L111">
        <v>0.61416700000000002</v>
      </c>
      <c r="M111">
        <v>0.241925</v>
      </c>
      <c r="N111">
        <v>613</v>
      </c>
      <c r="O111">
        <v>3331</v>
      </c>
      <c r="P111">
        <v>3944</v>
      </c>
    </row>
    <row r="112" spans="1:16" x14ac:dyDescent="0.3">
      <c r="A112">
        <v>111</v>
      </c>
      <c r="B112" s="1">
        <v>40654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>
        <v>0.45916699999999999</v>
      </c>
      <c r="K112">
        <v>0.45389200000000002</v>
      </c>
      <c r="L112">
        <v>0.40708299999999997</v>
      </c>
      <c r="M112">
        <v>0.32525799999999999</v>
      </c>
      <c r="N112">
        <v>745</v>
      </c>
      <c r="O112">
        <v>3444</v>
      </c>
      <c r="P112">
        <v>4189</v>
      </c>
    </row>
    <row r="113" spans="1:16" x14ac:dyDescent="0.3">
      <c r="A113">
        <v>112</v>
      </c>
      <c r="B113" s="1">
        <v>40655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>
        <v>0.33666699999999999</v>
      </c>
      <c r="K113">
        <v>0.32195400000000002</v>
      </c>
      <c r="L113">
        <v>0.72958299999999998</v>
      </c>
      <c r="M113">
        <v>0.21952099999999999</v>
      </c>
      <c r="N113">
        <v>177</v>
      </c>
      <c r="O113">
        <v>1506</v>
      </c>
      <c r="P113">
        <v>1683</v>
      </c>
    </row>
    <row r="114" spans="1:16" x14ac:dyDescent="0.3">
      <c r="A114">
        <v>113</v>
      </c>
      <c r="B114" s="1">
        <v>40656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>
        <v>0.46</v>
      </c>
      <c r="K114">
        <v>0.45012099999999999</v>
      </c>
      <c r="L114">
        <v>0.88791699999999996</v>
      </c>
      <c r="M114">
        <v>0.23072500000000001</v>
      </c>
      <c r="N114">
        <v>1462</v>
      </c>
      <c r="O114">
        <v>2574</v>
      </c>
      <c r="P114">
        <v>4036</v>
      </c>
    </row>
    <row r="115" spans="1:16" x14ac:dyDescent="0.3">
      <c r="A115">
        <v>114</v>
      </c>
      <c r="B115" s="1">
        <v>40657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>
        <v>0.58166700000000005</v>
      </c>
      <c r="K115">
        <v>0.551763</v>
      </c>
      <c r="L115">
        <v>0.81083300000000003</v>
      </c>
      <c r="M115">
        <v>0.19217500000000001</v>
      </c>
      <c r="N115">
        <v>1710</v>
      </c>
      <c r="O115">
        <v>2481</v>
      </c>
      <c r="P115">
        <v>4191</v>
      </c>
    </row>
    <row r="116" spans="1:16" x14ac:dyDescent="0.3">
      <c r="A116">
        <v>115</v>
      </c>
      <c r="B116" s="1">
        <v>40658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>
        <v>0.60666699999999996</v>
      </c>
      <c r="K116">
        <v>0.57450000000000001</v>
      </c>
      <c r="L116">
        <v>0.776667</v>
      </c>
      <c r="M116">
        <v>0.185333</v>
      </c>
      <c r="N116">
        <v>773</v>
      </c>
      <c r="O116">
        <v>3300</v>
      </c>
      <c r="P116">
        <v>4073</v>
      </c>
    </row>
    <row r="117" spans="1:16" x14ac:dyDescent="0.3">
      <c r="A117">
        <v>116</v>
      </c>
      <c r="B117" s="1">
        <v>40659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>
        <v>0.63166699999999998</v>
      </c>
      <c r="K117">
        <v>0.59408300000000003</v>
      </c>
      <c r="L117">
        <v>0.72916700000000001</v>
      </c>
      <c r="M117">
        <v>0.32650000000000001</v>
      </c>
      <c r="N117">
        <v>678</v>
      </c>
      <c r="O117">
        <v>3722</v>
      </c>
      <c r="P117">
        <v>4400</v>
      </c>
    </row>
    <row r="118" spans="1:16" x14ac:dyDescent="0.3">
      <c r="A118">
        <v>117</v>
      </c>
      <c r="B118" s="1">
        <v>40660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>
        <v>0.62</v>
      </c>
      <c r="K118">
        <v>0.57514200000000004</v>
      </c>
      <c r="L118">
        <v>0.83541699999999997</v>
      </c>
      <c r="M118">
        <v>0.31219999999999998</v>
      </c>
      <c r="N118">
        <v>547</v>
      </c>
      <c r="O118">
        <v>3325</v>
      </c>
      <c r="P118">
        <v>3872</v>
      </c>
    </row>
    <row r="119" spans="1:16" x14ac:dyDescent="0.3">
      <c r="A119">
        <v>118</v>
      </c>
      <c r="B119" s="1">
        <v>40661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>
        <v>0.61750000000000005</v>
      </c>
      <c r="K119">
        <v>0.57892900000000003</v>
      </c>
      <c r="L119">
        <v>0.70083300000000004</v>
      </c>
      <c r="M119">
        <v>0.32090800000000003</v>
      </c>
      <c r="N119">
        <v>569</v>
      </c>
      <c r="O119">
        <v>3489</v>
      </c>
      <c r="P119">
        <v>4058</v>
      </c>
    </row>
    <row r="120" spans="1:16" x14ac:dyDescent="0.3">
      <c r="A120">
        <v>119</v>
      </c>
      <c r="B120" s="1">
        <v>40662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>
        <v>0.51</v>
      </c>
      <c r="K120">
        <v>0.49746299999999999</v>
      </c>
      <c r="L120">
        <v>0.45708300000000002</v>
      </c>
      <c r="M120">
        <v>0.240063</v>
      </c>
      <c r="N120">
        <v>878</v>
      </c>
      <c r="O120">
        <v>3717</v>
      </c>
      <c r="P120">
        <v>4595</v>
      </c>
    </row>
    <row r="121" spans="1:16" x14ac:dyDescent="0.3">
      <c r="A121">
        <v>120</v>
      </c>
      <c r="B121" s="1">
        <v>40663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>
        <v>0.47249999999999998</v>
      </c>
      <c r="K121">
        <v>0.46402100000000002</v>
      </c>
      <c r="L121">
        <v>0.50333300000000003</v>
      </c>
      <c r="M121">
        <v>0.23507500000000001</v>
      </c>
      <c r="N121">
        <v>1965</v>
      </c>
      <c r="O121">
        <v>3347</v>
      </c>
      <c r="P121">
        <v>5312</v>
      </c>
    </row>
    <row r="122" spans="1:16" x14ac:dyDescent="0.3">
      <c r="A122">
        <v>121</v>
      </c>
      <c r="B122" s="1">
        <v>40664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>
        <v>0.45166699999999999</v>
      </c>
      <c r="K122">
        <v>0.44820399999999999</v>
      </c>
      <c r="L122">
        <v>0.76208299999999995</v>
      </c>
      <c r="M122">
        <v>0.106354</v>
      </c>
      <c r="N122">
        <v>1138</v>
      </c>
      <c r="O122">
        <v>2213</v>
      </c>
      <c r="P122">
        <v>3351</v>
      </c>
    </row>
    <row r="123" spans="1:16" x14ac:dyDescent="0.3">
      <c r="A123">
        <v>122</v>
      </c>
      <c r="B123" s="1">
        <v>40665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>
        <v>0.54916699999999996</v>
      </c>
      <c r="K123">
        <v>0.532833</v>
      </c>
      <c r="L123">
        <v>0.73</v>
      </c>
      <c r="M123">
        <v>0.18345400000000001</v>
      </c>
      <c r="N123">
        <v>847</v>
      </c>
      <c r="O123">
        <v>3554</v>
      </c>
      <c r="P123">
        <v>4401</v>
      </c>
    </row>
    <row r="124" spans="1:16" x14ac:dyDescent="0.3">
      <c r="A124">
        <v>123</v>
      </c>
      <c r="B124" s="1">
        <v>40666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>
        <v>0.61666699999999997</v>
      </c>
      <c r="K124">
        <v>0.58207900000000001</v>
      </c>
      <c r="L124">
        <v>0.69708300000000001</v>
      </c>
      <c r="M124">
        <v>0.342667</v>
      </c>
      <c r="N124">
        <v>603</v>
      </c>
      <c r="O124">
        <v>3848</v>
      </c>
      <c r="P124">
        <v>4451</v>
      </c>
    </row>
    <row r="125" spans="1:16" x14ac:dyDescent="0.3">
      <c r="A125">
        <v>124</v>
      </c>
      <c r="B125" s="1">
        <v>40667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>
        <v>0.41416700000000001</v>
      </c>
      <c r="K125">
        <v>0.40465000000000001</v>
      </c>
      <c r="L125">
        <v>0.73708300000000004</v>
      </c>
      <c r="M125">
        <v>0.32899600000000001</v>
      </c>
      <c r="N125">
        <v>255</v>
      </c>
      <c r="O125">
        <v>2378</v>
      </c>
      <c r="P125">
        <v>2633</v>
      </c>
    </row>
    <row r="126" spans="1:16" x14ac:dyDescent="0.3">
      <c r="A126">
        <v>125</v>
      </c>
      <c r="B126" s="1">
        <v>40668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>
        <v>0.45916699999999999</v>
      </c>
      <c r="K126">
        <v>0.441917</v>
      </c>
      <c r="L126">
        <v>0.44416699999999998</v>
      </c>
      <c r="M126">
        <v>0.29539199999999999</v>
      </c>
      <c r="N126">
        <v>614</v>
      </c>
      <c r="O126">
        <v>3819</v>
      </c>
      <c r="P126">
        <v>4433</v>
      </c>
    </row>
    <row r="127" spans="1:16" x14ac:dyDescent="0.3">
      <c r="A127">
        <v>126</v>
      </c>
      <c r="B127" s="1">
        <v>40669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>
        <v>0.47916700000000001</v>
      </c>
      <c r="K127">
        <v>0.47411700000000001</v>
      </c>
      <c r="L127">
        <v>0.59</v>
      </c>
      <c r="M127">
        <v>0.228246</v>
      </c>
      <c r="N127">
        <v>894</v>
      </c>
      <c r="O127">
        <v>3714</v>
      </c>
      <c r="P127">
        <v>4608</v>
      </c>
    </row>
    <row r="128" spans="1:16" x14ac:dyDescent="0.3">
      <c r="A128">
        <v>127</v>
      </c>
      <c r="B128" s="1">
        <v>40670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>
        <v>0.52</v>
      </c>
      <c r="K128">
        <v>0.51262099999999999</v>
      </c>
      <c r="L128">
        <v>0.54125000000000001</v>
      </c>
      <c r="M128">
        <v>0.16045000000000001</v>
      </c>
      <c r="N128">
        <v>1612</v>
      </c>
      <c r="O128">
        <v>3102</v>
      </c>
      <c r="P128">
        <v>4714</v>
      </c>
    </row>
    <row r="129" spans="1:16" x14ac:dyDescent="0.3">
      <c r="A129">
        <v>128</v>
      </c>
      <c r="B129" s="1">
        <v>40671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>
        <v>0.52833300000000005</v>
      </c>
      <c r="K129">
        <v>0.51893299999999998</v>
      </c>
      <c r="L129">
        <v>0.63166699999999998</v>
      </c>
      <c r="M129">
        <v>7.4637499999999996E-2</v>
      </c>
      <c r="N129">
        <v>1401</v>
      </c>
      <c r="O129">
        <v>2932</v>
      </c>
      <c r="P129">
        <v>4333</v>
      </c>
    </row>
    <row r="130" spans="1:16" x14ac:dyDescent="0.3">
      <c r="A130">
        <v>129</v>
      </c>
      <c r="B130" s="1">
        <v>40672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>
        <v>0.53249999999999997</v>
      </c>
      <c r="K130">
        <v>0.52524599999999999</v>
      </c>
      <c r="L130">
        <v>0.58875</v>
      </c>
      <c r="M130">
        <v>0.17599999999999999</v>
      </c>
      <c r="N130">
        <v>664</v>
      </c>
      <c r="O130">
        <v>3698</v>
      </c>
      <c r="P130">
        <v>4362</v>
      </c>
    </row>
    <row r="131" spans="1:16" x14ac:dyDescent="0.3">
      <c r="A131">
        <v>130</v>
      </c>
      <c r="B131" s="1">
        <v>40673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>
        <v>0.53249999999999997</v>
      </c>
      <c r="K131">
        <v>0.52272099999999999</v>
      </c>
      <c r="L131">
        <v>0.48916700000000002</v>
      </c>
      <c r="M131">
        <v>0.115671</v>
      </c>
      <c r="N131">
        <v>694</v>
      </c>
      <c r="O131">
        <v>4109</v>
      </c>
      <c r="P131">
        <v>4803</v>
      </c>
    </row>
    <row r="132" spans="1:16" x14ac:dyDescent="0.3">
      <c r="A132">
        <v>131</v>
      </c>
      <c r="B132" s="1">
        <v>40674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>
        <v>0.54249999999999998</v>
      </c>
      <c r="K132">
        <v>0.52839999999999998</v>
      </c>
      <c r="L132">
        <v>0.63291699999999995</v>
      </c>
      <c r="M132">
        <v>0.120642</v>
      </c>
      <c r="N132">
        <v>550</v>
      </c>
      <c r="O132">
        <v>3632</v>
      </c>
      <c r="P132">
        <v>4182</v>
      </c>
    </row>
    <row r="133" spans="1:16" x14ac:dyDescent="0.3">
      <c r="A133">
        <v>132</v>
      </c>
      <c r="B133" s="1">
        <v>40675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>
        <v>0.53500000000000003</v>
      </c>
      <c r="K133">
        <v>0.52336300000000002</v>
      </c>
      <c r="L133">
        <v>0.74750000000000005</v>
      </c>
      <c r="M133">
        <v>0.189667</v>
      </c>
      <c r="N133">
        <v>695</v>
      </c>
      <c r="O133">
        <v>4169</v>
      </c>
      <c r="P133">
        <v>4864</v>
      </c>
    </row>
    <row r="134" spans="1:16" x14ac:dyDescent="0.3">
      <c r="A134">
        <v>133</v>
      </c>
      <c r="B134" s="1">
        <v>40676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>
        <v>0.51249999999999996</v>
      </c>
      <c r="K134">
        <v>0.49430000000000002</v>
      </c>
      <c r="L134">
        <v>0.86333300000000002</v>
      </c>
      <c r="M134">
        <v>0.179725</v>
      </c>
      <c r="N134">
        <v>692</v>
      </c>
      <c r="O134">
        <v>3413</v>
      </c>
      <c r="P134">
        <v>4105</v>
      </c>
    </row>
    <row r="135" spans="1:16" x14ac:dyDescent="0.3">
      <c r="A135">
        <v>134</v>
      </c>
      <c r="B135" s="1">
        <v>40677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>
        <v>0.52083299999999999</v>
      </c>
      <c r="K135">
        <v>0.50062899999999999</v>
      </c>
      <c r="L135">
        <v>0.92249999999999999</v>
      </c>
      <c r="M135">
        <v>0.13494999999999999</v>
      </c>
      <c r="N135">
        <v>902</v>
      </c>
      <c r="O135">
        <v>2507</v>
      </c>
      <c r="P135">
        <v>3409</v>
      </c>
    </row>
    <row r="136" spans="1:16" x14ac:dyDescent="0.3">
      <c r="A136">
        <v>135</v>
      </c>
      <c r="B136" s="1">
        <v>40678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>
        <v>0.5625</v>
      </c>
      <c r="K136">
        <v>0.53600000000000003</v>
      </c>
      <c r="L136">
        <v>0.86708300000000005</v>
      </c>
      <c r="M136">
        <v>0.152979</v>
      </c>
      <c r="N136">
        <v>1582</v>
      </c>
      <c r="O136">
        <v>2971</v>
      </c>
      <c r="P136">
        <v>4553</v>
      </c>
    </row>
    <row r="137" spans="1:16" x14ac:dyDescent="0.3">
      <c r="A137">
        <v>136</v>
      </c>
      <c r="B137" s="1">
        <v>40679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>
        <v>0.57750000000000001</v>
      </c>
      <c r="K137">
        <v>0.550512</v>
      </c>
      <c r="L137">
        <v>0.78791699999999998</v>
      </c>
      <c r="M137">
        <v>0.12687100000000001</v>
      </c>
      <c r="N137">
        <v>773</v>
      </c>
      <c r="O137">
        <v>3185</v>
      </c>
      <c r="P137">
        <v>3958</v>
      </c>
    </row>
    <row r="138" spans="1:16" x14ac:dyDescent="0.3">
      <c r="A138">
        <v>137</v>
      </c>
      <c r="B138" s="1">
        <v>40680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>
        <v>0.56166700000000003</v>
      </c>
      <c r="K138">
        <v>0.53852900000000004</v>
      </c>
      <c r="L138">
        <v>0.83791700000000002</v>
      </c>
      <c r="M138">
        <v>0.27735399999999999</v>
      </c>
      <c r="N138">
        <v>678</v>
      </c>
      <c r="O138">
        <v>3445</v>
      </c>
      <c r="P138">
        <v>4123</v>
      </c>
    </row>
    <row r="139" spans="1:16" x14ac:dyDescent="0.3">
      <c r="A139">
        <v>138</v>
      </c>
      <c r="B139" s="1">
        <v>40681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>
        <v>0.55000000000000004</v>
      </c>
      <c r="K139">
        <v>0.52715800000000002</v>
      </c>
      <c r="L139">
        <v>0.87</v>
      </c>
      <c r="M139">
        <v>0.201492</v>
      </c>
      <c r="N139">
        <v>536</v>
      </c>
      <c r="O139">
        <v>3319</v>
      </c>
      <c r="P139">
        <v>3855</v>
      </c>
    </row>
    <row r="140" spans="1:16" x14ac:dyDescent="0.3">
      <c r="A140">
        <v>139</v>
      </c>
      <c r="B140" s="1">
        <v>40682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>
        <v>0.530833</v>
      </c>
      <c r="K140">
        <v>0.51074200000000003</v>
      </c>
      <c r="L140">
        <v>0.82958299999999996</v>
      </c>
      <c r="M140">
        <v>0.108213</v>
      </c>
      <c r="N140">
        <v>735</v>
      </c>
      <c r="O140">
        <v>3840</v>
      </c>
      <c r="P140">
        <v>4575</v>
      </c>
    </row>
    <row r="141" spans="1:16" x14ac:dyDescent="0.3">
      <c r="A141">
        <v>140</v>
      </c>
      <c r="B141" s="1">
        <v>40683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>
        <v>0.53666700000000001</v>
      </c>
      <c r="K141">
        <v>0.52904200000000001</v>
      </c>
      <c r="L141">
        <v>0.71958299999999997</v>
      </c>
      <c r="M141">
        <v>0.12501300000000001</v>
      </c>
      <c r="N141">
        <v>909</v>
      </c>
      <c r="O141">
        <v>4008</v>
      </c>
      <c r="P141">
        <v>4917</v>
      </c>
    </row>
    <row r="142" spans="1:16" x14ac:dyDescent="0.3">
      <c r="A142">
        <v>141</v>
      </c>
      <c r="B142" s="1">
        <v>40684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>
        <v>0.60250000000000004</v>
      </c>
      <c r="K142">
        <v>0.57197500000000001</v>
      </c>
      <c r="L142">
        <v>0.62666699999999997</v>
      </c>
      <c r="M142">
        <v>0.12064999999999999</v>
      </c>
      <c r="N142">
        <v>2258</v>
      </c>
      <c r="O142">
        <v>3547</v>
      </c>
      <c r="P142">
        <v>5805</v>
      </c>
    </row>
    <row r="143" spans="1:16" x14ac:dyDescent="0.3">
      <c r="A143">
        <v>142</v>
      </c>
      <c r="B143" s="1">
        <v>40685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>
        <v>0.60416700000000001</v>
      </c>
      <c r="K143">
        <v>0.57450000000000001</v>
      </c>
      <c r="L143">
        <v>0.749583</v>
      </c>
      <c r="M143">
        <v>0.148008</v>
      </c>
      <c r="N143">
        <v>1576</v>
      </c>
      <c r="O143">
        <v>3084</v>
      </c>
      <c r="P143">
        <v>4660</v>
      </c>
    </row>
    <row r="144" spans="1:16" x14ac:dyDescent="0.3">
      <c r="A144">
        <v>143</v>
      </c>
      <c r="B144" s="1">
        <v>40686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>
        <v>0.63166699999999998</v>
      </c>
      <c r="K144">
        <v>0.59029600000000004</v>
      </c>
      <c r="L144">
        <v>0.81</v>
      </c>
      <c r="M144">
        <v>0.23384199999999999</v>
      </c>
      <c r="N144">
        <v>836</v>
      </c>
      <c r="O144">
        <v>3438</v>
      </c>
      <c r="P144">
        <v>4274</v>
      </c>
    </row>
    <row r="145" spans="1:16" x14ac:dyDescent="0.3">
      <c r="A145">
        <v>144</v>
      </c>
      <c r="B145" s="1">
        <v>40687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>
        <v>0.66</v>
      </c>
      <c r="K145">
        <v>0.60481300000000005</v>
      </c>
      <c r="L145">
        <v>0.74083299999999996</v>
      </c>
      <c r="M145">
        <v>0.207092</v>
      </c>
      <c r="N145">
        <v>659</v>
      </c>
      <c r="O145">
        <v>3833</v>
      </c>
      <c r="P145">
        <v>4492</v>
      </c>
    </row>
    <row r="146" spans="1:16" x14ac:dyDescent="0.3">
      <c r="A146">
        <v>145</v>
      </c>
      <c r="B146" s="1">
        <v>40688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>
        <v>0.660833</v>
      </c>
      <c r="K146">
        <v>0.61554200000000003</v>
      </c>
      <c r="L146">
        <v>0.69625000000000004</v>
      </c>
      <c r="M146">
        <v>0.15423300000000001</v>
      </c>
      <c r="N146">
        <v>740</v>
      </c>
      <c r="O146">
        <v>4238</v>
      </c>
      <c r="P146">
        <v>4978</v>
      </c>
    </row>
    <row r="147" spans="1:16" x14ac:dyDescent="0.3">
      <c r="A147">
        <v>146</v>
      </c>
      <c r="B147" s="1">
        <v>40689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>
        <v>0.70833299999999999</v>
      </c>
      <c r="K147">
        <v>0.65468800000000005</v>
      </c>
      <c r="L147">
        <v>0.67749999999999999</v>
      </c>
      <c r="M147">
        <v>0.19964199999999999</v>
      </c>
      <c r="N147">
        <v>758</v>
      </c>
      <c r="O147">
        <v>3919</v>
      </c>
      <c r="P147">
        <v>4677</v>
      </c>
    </row>
    <row r="148" spans="1:16" x14ac:dyDescent="0.3">
      <c r="A148">
        <v>147</v>
      </c>
      <c r="B148" s="1">
        <v>40690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>
        <v>0.68166700000000002</v>
      </c>
      <c r="K148">
        <v>0.63700800000000002</v>
      </c>
      <c r="L148">
        <v>0.65375000000000005</v>
      </c>
      <c r="M148">
        <v>0.240679</v>
      </c>
      <c r="N148">
        <v>871</v>
      </c>
      <c r="O148">
        <v>3808</v>
      </c>
      <c r="P148">
        <v>4679</v>
      </c>
    </row>
    <row r="149" spans="1:16" x14ac:dyDescent="0.3">
      <c r="A149">
        <v>148</v>
      </c>
      <c r="B149" s="1">
        <v>40691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>
        <v>0.655833</v>
      </c>
      <c r="K149">
        <v>0.61237900000000001</v>
      </c>
      <c r="L149">
        <v>0.72958299999999998</v>
      </c>
      <c r="M149">
        <v>0.23009199999999999</v>
      </c>
      <c r="N149">
        <v>2001</v>
      </c>
      <c r="O149">
        <v>2757</v>
      </c>
      <c r="P149">
        <v>4758</v>
      </c>
    </row>
    <row r="150" spans="1:16" x14ac:dyDescent="0.3">
      <c r="A150">
        <v>149</v>
      </c>
      <c r="B150" s="1">
        <v>40692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>
        <v>0.66749999999999998</v>
      </c>
      <c r="K150">
        <v>0.61555000000000004</v>
      </c>
      <c r="L150">
        <v>0.81874999999999998</v>
      </c>
      <c r="M150">
        <v>0.21393799999999999</v>
      </c>
      <c r="N150">
        <v>2355</v>
      </c>
      <c r="O150">
        <v>2433</v>
      </c>
      <c r="P150">
        <v>4788</v>
      </c>
    </row>
    <row r="151" spans="1:16" x14ac:dyDescent="0.3">
      <c r="A151">
        <v>150</v>
      </c>
      <c r="B151" s="1">
        <v>40693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>
        <v>0.73333300000000001</v>
      </c>
      <c r="K151">
        <v>0.67109200000000002</v>
      </c>
      <c r="L151">
        <v>0.68500000000000005</v>
      </c>
      <c r="M151">
        <v>0.13122500000000001</v>
      </c>
      <c r="N151">
        <v>1549</v>
      </c>
      <c r="O151">
        <v>2549</v>
      </c>
      <c r="P151">
        <v>4098</v>
      </c>
    </row>
    <row r="152" spans="1:16" x14ac:dyDescent="0.3">
      <c r="A152">
        <v>151</v>
      </c>
      <c r="B152" s="1">
        <v>40694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>
        <v>0.77500000000000002</v>
      </c>
      <c r="K152">
        <v>0.725383</v>
      </c>
      <c r="L152">
        <v>0.63666699999999998</v>
      </c>
      <c r="M152">
        <v>0.111329</v>
      </c>
      <c r="N152">
        <v>673</v>
      </c>
      <c r="O152">
        <v>3309</v>
      </c>
      <c r="P152">
        <v>3982</v>
      </c>
    </row>
    <row r="153" spans="1:16" x14ac:dyDescent="0.3">
      <c r="A153">
        <v>152</v>
      </c>
      <c r="B153" s="1">
        <v>40695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>
        <v>0.76416700000000004</v>
      </c>
      <c r="K153">
        <v>0.72096700000000002</v>
      </c>
      <c r="L153">
        <v>0.67708299999999999</v>
      </c>
      <c r="M153">
        <v>0.207092</v>
      </c>
      <c r="N153">
        <v>513</v>
      </c>
      <c r="O153">
        <v>3461</v>
      </c>
      <c r="P153">
        <v>3974</v>
      </c>
    </row>
    <row r="154" spans="1:16" x14ac:dyDescent="0.3">
      <c r="A154">
        <v>153</v>
      </c>
      <c r="B154" s="1">
        <v>40696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>
        <v>0.71499999999999997</v>
      </c>
      <c r="K154">
        <v>0.64394200000000001</v>
      </c>
      <c r="L154">
        <v>0.30499999999999999</v>
      </c>
      <c r="M154">
        <v>0.29228700000000002</v>
      </c>
      <c r="N154">
        <v>736</v>
      </c>
      <c r="O154">
        <v>4232</v>
      </c>
      <c r="P154">
        <v>4968</v>
      </c>
    </row>
    <row r="155" spans="1:16" x14ac:dyDescent="0.3">
      <c r="A155">
        <v>154</v>
      </c>
      <c r="B155" s="1">
        <v>40697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>
        <v>0.62</v>
      </c>
      <c r="K155">
        <v>0.58713300000000002</v>
      </c>
      <c r="L155">
        <v>0.35416700000000001</v>
      </c>
      <c r="M155">
        <v>0.25312099999999998</v>
      </c>
      <c r="N155">
        <v>898</v>
      </c>
      <c r="O155">
        <v>4414</v>
      </c>
      <c r="P155">
        <v>5312</v>
      </c>
    </row>
    <row r="156" spans="1:16" x14ac:dyDescent="0.3">
      <c r="A156">
        <v>155</v>
      </c>
      <c r="B156" s="1">
        <v>40698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>
        <v>0.63500000000000001</v>
      </c>
      <c r="K156">
        <v>0.594696</v>
      </c>
      <c r="L156">
        <v>0.45624999999999999</v>
      </c>
      <c r="M156">
        <v>0.123142</v>
      </c>
      <c r="N156">
        <v>1869</v>
      </c>
      <c r="O156">
        <v>3473</v>
      </c>
      <c r="P156">
        <v>5342</v>
      </c>
    </row>
    <row r="157" spans="1:16" x14ac:dyDescent="0.3">
      <c r="A157">
        <v>156</v>
      </c>
      <c r="B157" s="1">
        <v>40699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>
        <v>0.64833300000000005</v>
      </c>
      <c r="K157">
        <v>0.61680400000000002</v>
      </c>
      <c r="L157">
        <v>0.65249999999999997</v>
      </c>
      <c r="M157">
        <v>0.13869200000000001</v>
      </c>
      <c r="N157">
        <v>1685</v>
      </c>
      <c r="O157">
        <v>3221</v>
      </c>
      <c r="P157">
        <v>4906</v>
      </c>
    </row>
    <row r="158" spans="1:16" x14ac:dyDescent="0.3">
      <c r="A158">
        <v>157</v>
      </c>
      <c r="B158" s="1">
        <v>40700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>
        <v>0.67833299999999996</v>
      </c>
      <c r="K158">
        <v>0.62185800000000002</v>
      </c>
      <c r="L158">
        <v>0.6</v>
      </c>
      <c r="M158">
        <v>0.121896</v>
      </c>
      <c r="N158">
        <v>673</v>
      </c>
      <c r="O158">
        <v>3875</v>
      </c>
      <c r="P158">
        <v>4548</v>
      </c>
    </row>
    <row r="159" spans="1:16" x14ac:dyDescent="0.3">
      <c r="A159">
        <v>158</v>
      </c>
      <c r="B159" s="1">
        <v>40701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>
        <v>0.70750000000000002</v>
      </c>
      <c r="K159">
        <v>0.65595000000000003</v>
      </c>
      <c r="L159">
        <v>0.59791700000000003</v>
      </c>
      <c r="M159">
        <v>0.187808</v>
      </c>
      <c r="N159">
        <v>763</v>
      </c>
      <c r="O159">
        <v>4070</v>
      </c>
      <c r="P159">
        <v>4833</v>
      </c>
    </row>
    <row r="160" spans="1:16" x14ac:dyDescent="0.3">
      <c r="A160">
        <v>159</v>
      </c>
      <c r="B160" s="1">
        <v>40702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>
        <v>0.77583299999999999</v>
      </c>
      <c r="K160">
        <v>0.72727900000000001</v>
      </c>
      <c r="L160">
        <v>0.62208300000000005</v>
      </c>
      <c r="M160">
        <v>0.13681699999999999</v>
      </c>
      <c r="N160">
        <v>676</v>
      </c>
      <c r="O160">
        <v>3725</v>
      </c>
      <c r="P160">
        <v>4401</v>
      </c>
    </row>
    <row r="161" spans="1:16" x14ac:dyDescent="0.3">
      <c r="A161">
        <v>160</v>
      </c>
      <c r="B161" s="1">
        <v>40703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>
        <v>0.80833299999999997</v>
      </c>
      <c r="K161">
        <v>0.757579</v>
      </c>
      <c r="L161">
        <v>0.56833299999999998</v>
      </c>
      <c r="M161">
        <v>0.14988299999999999</v>
      </c>
      <c r="N161">
        <v>563</v>
      </c>
      <c r="O161">
        <v>3352</v>
      </c>
      <c r="P161">
        <v>3915</v>
      </c>
    </row>
    <row r="162" spans="1:16" x14ac:dyDescent="0.3">
      <c r="A162">
        <v>161</v>
      </c>
      <c r="B162" s="1">
        <v>40704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>
        <v>0.755</v>
      </c>
      <c r="K162">
        <v>0.70329200000000003</v>
      </c>
      <c r="L162">
        <v>0.60499999999999998</v>
      </c>
      <c r="M162">
        <v>0.14055400000000001</v>
      </c>
      <c r="N162">
        <v>815</v>
      </c>
      <c r="O162">
        <v>3771</v>
      </c>
      <c r="P162">
        <v>4586</v>
      </c>
    </row>
    <row r="163" spans="1:16" x14ac:dyDescent="0.3">
      <c r="A163">
        <v>162</v>
      </c>
      <c r="B163" s="1">
        <v>40705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>
        <v>0.72499999999999998</v>
      </c>
      <c r="K163">
        <v>0.67803800000000003</v>
      </c>
      <c r="L163">
        <v>0.65458300000000003</v>
      </c>
      <c r="M163">
        <v>0.15484999999999999</v>
      </c>
      <c r="N163">
        <v>1729</v>
      </c>
      <c r="O163">
        <v>3237</v>
      </c>
      <c r="P163">
        <v>4966</v>
      </c>
    </row>
    <row r="164" spans="1:16" x14ac:dyDescent="0.3">
      <c r="A164">
        <v>163</v>
      </c>
      <c r="B164" s="1">
        <v>40706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>
        <v>0.6925</v>
      </c>
      <c r="K164">
        <v>0.64332500000000004</v>
      </c>
      <c r="L164">
        <v>0.74791700000000005</v>
      </c>
      <c r="M164">
        <v>0.16356699999999999</v>
      </c>
      <c r="N164">
        <v>1467</v>
      </c>
      <c r="O164">
        <v>2993</v>
      </c>
      <c r="P164">
        <v>4460</v>
      </c>
    </row>
    <row r="165" spans="1:16" x14ac:dyDescent="0.3">
      <c r="A165">
        <v>164</v>
      </c>
      <c r="B165" s="1">
        <v>40707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>
        <v>0.63500000000000001</v>
      </c>
      <c r="K165">
        <v>0.60165400000000002</v>
      </c>
      <c r="L165">
        <v>0.49458299999999999</v>
      </c>
      <c r="M165">
        <v>0.30535000000000001</v>
      </c>
      <c r="N165">
        <v>863</v>
      </c>
      <c r="O165">
        <v>4157</v>
      </c>
      <c r="P165">
        <v>5020</v>
      </c>
    </row>
    <row r="166" spans="1:16" x14ac:dyDescent="0.3">
      <c r="A166">
        <v>165</v>
      </c>
      <c r="B166" s="1">
        <v>40708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>
        <v>0.60416700000000001</v>
      </c>
      <c r="K166">
        <v>0.59154600000000002</v>
      </c>
      <c r="L166">
        <v>0.50708299999999995</v>
      </c>
      <c r="M166">
        <v>0.26928299999999999</v>
      </c>
      <c r="N166">
        <v>727</v>
      </c>
      <c r="O166">
        <v>4164</v>
      </c>
      <c r="P166">
        <v>4891</v>
      </c>
    </row>
    <row r="167" spans="1:16" x14ac:dyDescent="0.3">
      <c r="A167">
        <v>166</v>
      </c>
      <c r="B167" s="1">
        <v>40709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>
        <v>0.62666699999999997</v>
      </c>
      <c r="K167">
        <v>0.587754</v>
      </c>
      <c r="L167">
        <v>0.471667</v>
      </c>
      <c r="M167">
        <v>0.16791200000000001</v>
      </c>
      <c r="N167">
        <v>769</v>
      </c>
      <c r="O167">
        <v>4411</v>
      </c>
      <c r="P167">
        <v>5180</v>
      </c>
    </row>
    <row r="168" spans="1:16" x14ac:dyDescent="0.3">
      <c r="A168">
        <v>167</v>
      </c>
      <c r="B168" s="1">
        <v>40710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>
        <v>0.62833300000000003</v>
      </c>
      <c r="K168">
        <v>0.59534600000000004</v>
      </c>
      <c r="L168">
        <v>0.68833299999999997</v>
      </c>
      <c r="M168">
        <v>0.20647099999999999</v>
      </c>
      <c r="N168">
        <v>545</v>
      </c>
      <c r="O168">
        <v>3222</v>
      </c>
      <c r="P168">
        <v>3767</v>
      </c>
    </row>
    <row r="169" spans="1:16" x14ac:dyDescent="0.3">
      <c r="A169">
        <v>168</v>
      </c>
      <c r="B169" s="1">
        <v>40711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>
        <v>0.64916700000000005</v>
      </c>
      <c r="K169">
        <v>0.600383</v>
      </c>
      <c r="L169">
        <v>0.73583299999999996</v>
      </c>
      <c r="M169">
        <v>0.14302899999999999</v>
      </c>
      <c r="N169">
        <v>863</v>
      </c>
      <c r="O169">
        <v>3981</v>
      </c>
      <c r="P169">
        <v>4844</v>
      </c>
    </row>
    <row r="170" spans="1:16" x14ac:dyDescent="0.3">
      <c r="A170">
        <v>169</v>
      </c>
      <c r="B170" s="1">
        <v>40712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>
        <v>0.69666700000000004</v>
      </c>
      <c r="K170">
        <v>0.64395400000000003</v>
      </c>
      <c r="L170">
        <v>0.67041700000000004</v>
      </c>
      <c r="M170">
        <v>0.119408</v>
      </c>
      <c r="N170">
        <v>1807</v>
      </c>
      <c r="O170">
        <v>3312</v>
      </c>
      <c r="P170">
        <v>5119</v>
      </c>
    </row>
    <row r="171" spans="1:16" x14ac:dyDescent="0.3">
      <c r="A171">
        <v>170</v>
      </c>
      <c r="B171" s="1">
        <v>40713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>
        <v>0.69916699999999998</v>
      </c>
      <c r="K171">
        <v>0.64584600000000003</v>
      </c>
      <c r="L171">
        <v>0.66666700000000001</v>
      </c>
      <c r="M171">
        <v>0.10199999999999999</v>
      </c>
      <c r="N171">
        <v>1639</v>
      </c>
      <c r="O171">
        <v>3105</v>
      </c>
      <c r="P171">
        <v>4744</v>
      </c>
    </row>
    <row r="172" spans="1:16" x14ac:dyDescent="0.3">
      <c r="A172">
        <v>171</v>
      </c>
      <c r="B172" s="1">
        <v>40714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>
        <v>0.63500000000000001</v>
      </c>
      <c r="K172">
        <v>0.59534600000000004</v>
      </c>
      <c r="L172">
        <v>0.74624999999999997</v>
      </c>
      <c r="M172">
        <v>0.155475</v>
      </c>
      <c r="N172">
        <v>699</v>
      </c>
      <c r="O172">
        <v>3311</v>
      </c>
      <c r="P172">
        <v>4010</v>
      </c>
    </row>
    <row r="173" spans="1:16" x14ac:dyDescent="0.3">
      <c r="A173">
        <v>172</v>
      </c>
      <c r="B173" s="1">
        <v>40715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>
        <v>0.68083300000000002</v>
      </c>
      <c r="K173">
        <v>0.63764600000000005</v>
      </c>
      <c r="L173">
        <v>0.77041700000000002</v>
      </c>
      <c r="M173">
        <v>0.17102500000000001</v>
      </c>
      <c r="N173">
        <v>774</v>
      </c>
      <c r="O173">
        <v>4061</v>
      </c>
      <c r="P173">
        <v>4835</v>
      </c>
    </row>
    <row r="174" spans="1:16" x14ac:dyDescent="0.3">
      <c r="A174">
        <v>173</v>
      </c>
      <c r="B174" s="1">
        <v>40716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>
        <v>0.73333300000000001</v>
      </c>
      <c r="K174">
        <v>0.69382900000000003</v>
      </c>
      <c r="L174">
        <v>0.70750000000000002</v>
      </c>
      <c r="M174">
        <v>0.172262</v>
      </c>
      <c r="N174">
        <v>661</v>
      </c>
      <c r="O174">
        <v>3846</v>
      </c>
      <c r="P174">
        <v>4507</v>
      </c>
    </row>
    <row r="175" spans="1:16" x14ac:dyDescent="0.3">
      <c r="A175">
        <v>174</v>
      </c>
      <c r="B175" s="1">
        <v>40717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>
        <v>0.72833300000000001</v>
      </c>
      <c r="K175">
        <v>0.69383300000000003</v>
      </c>
      <c r="L175">
        <v>0.70333299999999999</v>
      </c>
      <c r="M175">
        <v>0.23880399999999999</v>
      </c>
      <c r="N175">
        <v>746</v>
      </c>
      <c r="O175">
        <v>4044</v>
      </c>
      <c r="P175">
        <v>4790</v>
      </c>
    </row>
    <row r="176" spans="1:16" x14ac:dyDescent="0.3">
      <c r="A176">
        <v>175</v>
      </c>
      <c r="B176" s="1">
        <v>40718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>
        <v>0.72416700000000001</v>
      </c>
      <c r="K176">
        <v>0.65658300000000003</v>
      </c>
      <c r="L176">
        <v>0.57333299999999998</v>
      </c>
      <c r="M176">
        <v>0.222025</v>
      </c>
      <c r="N176">
        <v>969</v>
      </c>
      <c r="O176">
        <v>4022</v>
      </c>
      <c r="P176">
        <v>4991</v>
      </c>
    </row>
    <row r="177" spans="1:16" x14ac:dyDescent="0.3">
      <c r="A177">
        <v>176</v>
      </c>
      <c r="B177" s="1">
        <v>40719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>
        <v>0.69499999999999995</v>
      </c>
      <c r="K177">
        <v>0.64331300000000002</v>
      </c>
      <c r="L177">
        <v>0.48333300000000001</v>
      </c>
      <c r="M177">
        <v>0.20957100000000001</v>
      </c>
      <c r="N177">
        <v>1782</v>
      </c>
      <c r="O177">
        <v>3420</v>
      </c>
      <c r="P177">
        <v>5202</v>
      </c>
    </row>
    <row r="178" spans="1:16" x14ac:dyDescent="0.3">
      <c r="A178">
        <v>177</v>
      </c>
      <c r="B178" s="1">
        <v>40720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>
        <v>0.68</v>
      </c>
      <c r="K178">
        <v>0.637629</v>
      </c>
      <c r="L178">
        <v>0.51333300000000004</v>
      </c>
      <c r="M178">
        <v>9.4533300000000001E-2</v>
      </c>
      <c r="N178">
        <v>1920</v>
      </c>
      <c r="O178">
        <v>3385</v>
      </c>
      <c r="P178">
        <v>5305</v>
      </c>
    </row>
    <row r="179" spans="1:16" x14ac:dyDescent="0.3">
      <c r="A179">
        <v>178</v>
      </c>
      <c r="B179" s="1">
        <v>40721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>
        <v>0.6825</v>
      </c>
      <c r="K179">
        <v>0.63700400000000001</v>
      </c>
      <c r="L179">
        <v>0.65833299999999995</v>
      </c>
      <c r="M179">
        <v>0.107588</v>
      </c>
      <c r="N179">
        <v>854</v>
      </c>
      <c r="O179">
        <v>3854</v>
      </c>
      <c r="P179">
        <v>4708</v>
      </c>
    </row>
    <row r="180" spans="1:16" x14ac:dyDescent="0.3">
      <c r="A180">
        <v>179</v>
      </c>
      <c r="B180" s="1">
        <v>40722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>
        <v>0.74416700000000002</v>
      </c>
      <c r="K180">
        <v>0.69255800000000001</v>
      </c>
      <c r="L180">
        <v>0.63416700000000004</v>
      </c>
      <c r="M180">
        <v>0.14428299999999999</v>
      </c>
      <c r="N180">
        <v>732</v>
      </c>
      <c r="O180">
        <v>3916</v>
      </c>
      <c r="P180">
        <v>4648</v>
      </c>
    </row>
    <row r="181" spans="1:16" x14ac:dyDescent="0.3">
      <c r="A181">
        <v>180</v>
      </c>
      <c r="B181" s="1">
        <v>40723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>
        <v>0.72833300000000001</v>
      </c>
      <c r="K181">
        <v>0.65468800000000005</v>
      </c>
      <c r="L181">
        <v>0.497917</v>
      </c>
      <c r="M181">
        <v>0.26182100000000003</v>
      </c>
      <c r="N181">
        <v>848</v>
      </c>
      <c r="O181">
        <v>4377</v>
      </c>
      <c r="P181">
        <v>5225</v>
      </c>
    </row>
    <row r="182" spans="1:16" x14ac:dyDescent="0.3">
      <c r="A182">
        <v>181</v>
      </c>
      <c r="B182" s="1">
        <v>40724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>
        <v>0.69666700000000004</v>
      </c>
      <c r="K182">
        <v>0.63700800000000002</v>
      </c>
      <c r="L182">
        <v>0.43416700000000003</v>
      </c>
      <c r="M182">
        <v>0.185312</v>
      </c>
      <c r="N182">
        <v>1027</v>
      </c>
      <c r="O182">
        <v>4488</v>
      </c>
      <c r="P182">
        <v>5515</v>
      </c>
    </row>
    <row r="183" spans="1:16" x14ac:dyDescent="0.3">
      <c r="A183">
        <v>182</v>
      </c>
      <c r="B183" s="1">
        <v>40725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>
        <v>0.72250000000000003</v>
      </c>
      <c r="K183">
        <v>0.65216200000000002</v>
      </c>
      <c r="L183">
        <v>0.39624999999999999</v>
      </c>
      <c r="M183">
        <v>0.102608</v>
      </c>
      <c r="N183">
        <v>1246</v>
      </c>
      <c r="O183">
        <v>4116</v>
      </c>
      <c r="P183">
        <v>5362</v>
      </c>
    </row>
    <row r="184" spans="1:16" x14ac:dyDescent="0.3">
      <c r="A184">
        <v>183</v>
      </c>
      <c r="B184" s="1">
        <v>40726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>
        <v>0.73833300000000002</v>
      </c>
      <c r="K184">
        <v>0.66730800000000001</v>
      </c>
      <c r="L184">
        <v>0.44458300000000001</v>
      </c>
      <c r="M184">
        <v>0.115062</v>
      </c>
      <c r="N184">
        <v>2204</v>
      </c>
      <c r="O184">
        <v>2915</v>
      </c>
      <c r="P184">
        <v>5119</v>
      </c>
    </row>
    <row r="185" spans="1:16" x14ac:dyDescent="0.3">
      <c r="A185">
        <v>184</v>
      </c>
      <c r="B185" s="1">
        <v>40727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>
        <v>0.71666700000000005</v>
      </c>
      <c r="K185">
        <v>0.66857500000000003</v>
      </c>
      <c r="L185">
        <v>0.6825</v>
      </c>
      <c r="M185">
        <v>0.22885800000000001</v>
      </c>
      <c r="N185">
        <v>2282</v>
      </c>
      <c r="O185">
        <v>2367</v>
      </c>
      <c r="P185">
        <v>4649</v>
      </c>
    </row>
    <row r="186" spans="1:16" x14ac:dyDescent="0.3">
      <c r="A186">
        <v>185</v>
      </c>
      <c r="B186" s="1">
        <v>40728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>
        <v>0.72666699999999995</v>
      </c>
      <c r="K186">
        <v>0.66541700000000004</v>
      </c>
      <c r="L186">
        <v>0.63791699999999996</v>
      </c>
      <c r="M186">
        <v>8.1479200000000002E-2</v>
      </c>
      <c r="N186">
        <v>3065</v>
      </c>
      <c r="O186">
        <v>2978</v>
      </c>
      <c r="P186">
        <v>6043</v>
      </c>
    </row>
    <row r="187" spans="1:16" x14ac:dyDescent="0.3">
      <c r="A187">
        <v>186</v>
      </c>
      <c r="B187" s="1">
        <v>40729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>
        <v>0.74666699999999997</v>
      </c>
      <c r="K187">
        <v>0.69633800000000001</v>
      </c>
      <c r="L187">
        <v>0.59041699999999997</v>
      </c>
      <c r="M187">
        <v>0.12625800000000001</v>
      </c>
      <c r="N187">
        <v>1031</v>
      </c>
      <c r="O187">
        <v>3634</v>
      </c>
      <c r="P187">
        <v>4665</v>
      </c>
    </row>
    <row r="188" spans="1:16" x14ac:dyDescent="0.3">
      <c r="A188">
        <v>187</v>
      </c>
      <c r="B188" s="1">
        <v>40730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>
        <v>0.72</v>
      </c>
      <c r="K188">
        <v>0.68563300000000005</v>
      </c>
      <c r="L188">
        <v>0.74333300000000002</v>
      </c>
      <c r="M188">
        <v>0.14988299999999999</v>
      </c>
      <c r="N188">
        <v>784</v>
      </c>
      <c r="O188">
        <v>3845</v>
      </c>
      <c r="P188">
        <v>4629</v>
      </c>
    </row>
    <row r="189" spans="1:16" x14ac:dyDescent="0.3">
      <c r="A189">
        <v>188</v>
      </c>
      <c r="B189" s="1">
        <v>40731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>
        <v>0.75</v>
      </c>
      <c r="K189">
        <v>0.68687100000000001</v>
      </c>
      <c r="L189">
        <v>0.65125</v>
      </c>
      <c r="M189">
        <v>0.15920000000000001</v>
      </c>
      <c r="N189">
        <v>754</v>
      </c>
      <c r="O189">
        <v>3838</v>
      </c>
      <c r="P189">
        <v>4592</v>
      </c>
    </row>
    <row r="190" spans="1:16" x14ac:dyDescent="0.3">
      <c r="A190">
        <v>189</v>
      </c>
      <c r="B190" s="1">
        <v>40732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>
        <v>0.70916699999999999</v>
      </c>
      <c r="K190">
        <v>0.67048300000000005</v>
      </c>
      <c r="L190">
        <v>0.75791699999999995</v>
      </c>
      <c r="M190">
        <v>0.225129</v>
      </c>
      <c r="N190">
        <v>692</v>
      </c>
      <c r="O190">
        <v>3348</v>
      </c>
      <c r="P190">
        <v>4040</v>
      </c>
    </row>
    <row r="191" spans="1:16" x14ac:dyDescent="0.3">
      <c r="A191">
        <v>190</v>
      </c>
      <c r="B191" s="1">
        <v>40733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>
        <v>0.73333300000000001</v>
      </c>
      <c r="K191">
        <v>0.66415800000000003</v>
      </c>
      <c r="L191">
        <v>0.60916700000000001</v>
      </c>
      <c r="M191">
        <v>0.16791200000000001</v>
      </c>
      <c r="N191">
        <v>1988</v>
      </c>
      <c r="O191">
        <v>3348</v>
      </c>
      <c r="P191">
        <v>5336</v>
      </c>
    </row>
    <row r="192" spans="1:16" x14ac:dyDescent="0.3">
      <c r="A192">
        <v>191</v>
      </c>
      <c r="B192" s="1">
        <v>40734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>
        <v>0.74750000000000005</v>
      </c>
      <c r="K192">
        <v>0.690025</v>
      </c>
      <c r="L192">
        <v>0.57833299999999999</v>
      </c>
      <c r="M192">
        <v>0.183471</v>
      </c>
      <c r="N192">
        <v>1743</v>
      </c>
      <c r="O192">
        <v>3138</v>
      </c>
      <c r="P192">
        <v>4881</v>
      </c>
    </row>
    <row r="193" spans="1:16" x14ac:dyDescent="0.3">
      <c r="A193">
        <v>192</v>
      </c>
      <c r="B193" s="1">
        <v>40735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>
        <v>0.76249999999999996</v>
      </c>
      <c r="K193">
        <v>0.72980400000000001</v>
      </c>
      <c r="L193">
        <v>0.63583299999999998</v>
      </c>
      <c r="M193">
        <v>0.282337</v>
      </c>
      <c r="N193">
        <v>723</v>
      </c>
      <c r="O193">
        <v>3363</v>
      </c>
      <c r="P193">
        <v>4086</v>
      </c>
    </row>
    <row r="194" spans="1:16" x14ac:dyDescent="0.3">
      <c r="A194">
        <v>193</v>
      </c>
      <c r="B194" s="1">
        <v>40736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>
        <v>0.79416699999999996</v>
      </c>
      <c r="K194">
        <v>0.73927500000000002</v>
      </c>
      <c r="L194">
        <v>0.55916699999999997</v>
      </c>
      <c r="M194">
        <v>0.20025399999999999</v>
      </c>
      <c r="N194">
        <v>662</v>
      </c>
      <c r="O194">
        <v>3596</v>
      </c>
      <c r="P194">
        <v>4258</v>
      </c>
    </row>
    <row r="195" spans="1:16" x14ac:dyDescent="0.3">
      <c r="A195">
        <v>194</v>
      </c>
      <c r="B195" s="1">
        <v>40737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>
        <v>0.74666699999999997</v>
      </c>
      <c r="K195">
        <v>0.68940400000000002</v>
      </c>
      <c r="L195">
        <v>0.63166699999999998</v>
      </c>
      <c r="M195">
        <v>0.14613300000000001</v>
      </c>
      <c r="N195">
        <v>748</v>
      </c>
      <c r="O195">
        <v>3594</v>
      </c>
      <c r="P195">
        <v>4342</v>
      </c>
    </row>
    <row r="196" spans="1:16" x14ac:dyDescent="0.3">
      <c r="A196">
        <v>195</v>
      </c>
      <c r="B196" s="1">
        <v>40738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>
        <v>0.68083300000000002</v>
      </c>
      <c r="K196">
        <v>0.635104</v>
      </c>
      <c r="L196">
        <v>0.47625000000000001</v>
      </c>
      <c r="M196">
        <v>0.24066699999999999</v>
      </c>
      <c r="N196">
        <v>888</v>
      </c>
      <c r="O196">
        <v>4196</v>
      </c>
      <c r="P196">
        <v>5084</v>
      </c>
    </row>
    <row r="197" spans="1:16" x14ac:dyDescent="0.3">
      <c r="A197">
        <v>196</v>
      </c>
      <c r="B197" s="1">
        <v>40739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>
        <v>0.66333299999999995</v>
      </c>
      <c r="K197">
        <v>0.62437100000000001</v>
      </c>
      <c r="L197">
        <v>0.59125000000000005</v>
      </c>
      <c r="M197">
        <v>0.182833</v>
      </c>
      <c r="N197">
        <v>1318</v>
      </c>
      <c r="O197">
        <v>4220</v>
      </c>
      <c r="P197">
        <v>5538</v>
      </c>
    </row>
    <row r="198" spans="1:16" x14ac:dyDescent="0.3">
      <c r="A198">
        <v>197</v>
      </c>
      <c r="B198" s="1">
        <v>40740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>
        <v>0.68666700000000003</v>
      </c>
      <c r="K198">
        <v>0.63826300000000002</v>
      </c>
      <c r="L198">
        <v>0.58499999999999996</v>
      </c>
      <c r="M198">
        <v>0.208342</v>
      </c>
      <c r="N198">
        <v>2418</v>
      </c>
      <c r="O198">
        <v>3505</v>
      </c>
      <c r="P198">
        <v>5923</v>
      </c>
    </row>
    <row r="199" spans="1:16" x14ac:dyDescent="0.3">
      <c r="A199">
        <v>198</v>
      </c>
      <c r="B199" s="1">
        <v>40741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>
        <v>0.719167</v>
      </c>
      <c r="K199">
        <v>0.66983300000000001</v>
      </c>
      <c r="L199">
        <v>0.60416700000000001</v>
      </c>
      <c r="M199">
        <v>0.245033</v>
      </c>
      <c r="N199">
        <v>2006</v>
      </c>
      <c r="O199">
        <v>3296</v>
      </c>
      <c r="P199">
        <v>5302</v>
      </c>
    </row>
    <row r="200" spans="1:16" x14ac:dyDescent="0.3">
      <c r="A200">
        <v>199</v>
      </c>
      <c r="B200" s="1">
        <v>40742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>
        <v>0.74666699999999997</v>
      </c>
      <c r="K200">
        <v>0.70392500000000002</v>
      </c>
      <c r="L200">
        <v>0.65125</v>
      </c>
      <c r="M200">
        <v>0.215804</v>
      </c>
      <c r="N200">
        <v>841</v>
      </c>
      <c r="O200">
        <v>3617</v>
      </c>
      <c r="P200">
        <v>4458</v>
      </c>
    </row>
    <row r="201" spans="1:16" x14ac:dyDescent="0.3">
      <c r="A201">
        <v>200</v>
      </c>
      <c r="B201" s="1">
        <v>40743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>
        <v>0.776667</v>
      </c>
      <c r="K201">
        <v>0.747479</v>
      </c>
      <c r="L201">
        <v>0.65041700000000002</v>
      </c>
      <c r="M201">
        <v>0.13059999999999999</v>
      </c>
      <c r="N201">
        <v>752</v>
      </c>
      <c r="O201">
        <v>3789</v>
      </c>
      <c r="P201">
        <v>4541</v>
      </c>
    </row>
    <row r="202" spans="1:16" x14ac:dyDescent="0.3">
      <c r="A202">
        <v>201</v>
      </c>
      <c r="B202" s="1">
        <v>40744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>
        <v>0.76833300000000004</v>
      </c>
      <c r="K202">
        <v>0.74685000000000001</v>
      </c>
      <c r="L202">
        <v>0.70708300000000002</v>
      </c>
      <c r="M202">
        <v>0.113817</v>
      </c>
      <c r="N202">
        <v>644</v>
      </c>
      <c r="O202">
        <v>3688</v>
      </c>
      <c r="P202">
        <v>4332</v>
      </c>
    </row>
    <row r="203" spans="1:16" x14ac:dyDescent="0.3">
      <c r="A203">
        <v>202</v>
      </c>
      <c r="B203" s="1">
        <v>40745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>
        <v>0.81499999999999995</v>
      </c>
      <c r="K203">
        <v>0.82637099999999997</v>
      </c>
      <c r="L203">
        <v>0.69125000000000003</v>
      </c>
      <c r="M203">
        <v>0.222021</v>
      </c>
      <c r="N203">
        <v>632</v>
      </c>
      <c r="O203">
        <v>3152</v>
      </c>
      <c r="P203">
        <v>3784</v>
      </c>
    </row>
    <row r="204" spans="1:16" x14ac:dyDescent="0.3">
      <c r="A204">
        <v>203</v>
      </c>
      <c r="B204" s="1">
        <v>40746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>
        <v>0.848333</v>
      </c>
      <c r="K204">
        <v>0.84089599999999998</v>
      </c>
      <c r="L204">
        <v>0.58041699999999996</v>
      </c>
      <c r="M204">
        <v>0.1331</v>
      </c>
      <c r="N204">
        <v>562</v>
      </c>
      <c r="O204">
        <v>2825</v>
      </c>
      <c r="P204">
        <v>3387</v>
      </c>
    </row>
    <row r="205" spans="1:16" x14ac:dyDescent="0.3">
      <c r="A205">
        <v>204</v>
      </c>
      <c r="B205" s="1">
        <v>40747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>
        <v>0.84916700000000001</v>
      </c>
      <c r="K205">
        <v>0.80428699999999997</v>
      </c>
      <c r="L205">
        <v>0.5</v>
      </c>
      <c r="M205">
        <v>0.131221</v>
      </c>
      <c r="N205">
        <v>987</v>
      </c>
      <c r="O205">
        <v>2298</v>
      </c>
      <c r="P205">
        <v>3285</v>
      </c>
    </row>
    <row r="206" spans="1:16" x14ac:dyDescent="0.3">
      <c r="A206">
        <v>205</v>
      </c>
      <c r="B206" s="1">
        <v>40748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>
        <v>0.83</v>
      </c>
      <c r="K206">
        <v>0.79482900000000001</v>
      </c>
      <c r="L206">
        <v>0.55083300000000002</v>
      </c>
      <c r="M206">
        <v>0.16917099999999999</v>
      </c>
      <c r="N206">
        <v>1050</v>
      </c>
      <c r="O206">
        <v>2556</v>
      </c>
      <c r="P206">
        <v>3606</v>
      </c>
    </row>
    <row r="207" spans="1:16" x14ac:dyDescent="0.3">
      <c r="A207">
        <v>206</v>
      </c>
      <c r="B207" s="1">
        <v>40749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>
        <v>0.74333300000000002</v>
      </c>
      <c r="K207">
        <v>0.72095799999999999</v>
      </c>
      <c r="L207">
        <v>0.75708299999999995</v>
      </c>
      <c r="M207">
        <v>9.0808299999999995E-2</v>
      </c>
      <c r="N207">
        <v>568</v>
      </c>
      <c r="O207">
        <v>3272</v>
      </c>
      <c r="P207">
        <v>3840</v>
      </c>
    </row>
    <row r="208" spans="1:16" x14ac:dyDescent="0.3">
      <c r="A208">
        <v>207</v>
      </c>
      <c r="B208" s="1">
        <v>40750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>
        <v>0.77166699999999999</v>
      </c>
      <c r="K208">
        <v>0.69697900000000002</v>
      </c>
      <c r="L208">
        <v>0.54083300000000001</v>
      </c>
      <c r="M208">
        <v>0.20025799999999999</v>
      </c>
      <c r="N208">
        <v>750</v>
      </c>
      <c r="O208">
        <v>3840</v>
      </c>
      <c r="P208">
        <v>4590</v>
      </c>
    </row>
    <row r="209" spans="1:16" x14ac:dyDescent="0.3">
      <c r="A209">
        <v>208</v>
      </c>
      <c r="B209" s="1">
        <v>40751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>
        <v>0.77500000000000002</v>
      </c>
      <c r="K209">
        <v>0.69066700000000003</v>
      </c>
      <c r="L209">
        <v>0.40291700000000003</v>
      </c>
      <c r="M209">
        <v>0.18346299999999999</v>
      </c>
      <c r="N209">
        <v>755</v>
      </c>
      <c r="O209">
        <v>3901</v>
      </c>
      <c r="P209">
        <v>4656</v>
      </c>
    </row>
    <row r="210" spans="1:16" x14ac:dyDescent="0.3">
      <c r="A210">
        <v>209</v>
      </c>
      <c r="B210" s="1">
        <v>40752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>
        <v>0.77916700000000005</v>
      </c>
      <c r="K210">
        <v>0.7399</v>
      </c>
      <c r="L210">
        <v>0.58333299999999999</v>
      </c>
      <c r="M210">
        <v>0.178479</v>
      </c>
      <c r="N210">
        <v>606</v>
      </c>
      <c r="O210">
        <v>3784</v>
      </c>
      <c r="P210">
        <v>4390</v>
      </c>
    </row>
    <row r="211" spans="1:16" x14ac:dyDescent="0.3">
      <c r="A211">
        <v>210</v>
      </c>
      <c r="B211" s="1">
        <v>40753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>
        <v>0.83833299999999999</v>
      </c>
      <c r="K211">
        <v>0.78596699999999997</v>
      </c>
      <c r="L211">
        <v>0.54249999999999998</v>
      </c>
      <c r="M211">
        <v>0.17413799999999999</v>
      </c>
      <c r="N211">
        <v>670</v>
      </c>
      <c r="O211">
        <v>3176</v>
      </c>
      <c r="P211">
        <v>3846</v>
      </c>
    </row>
    <row r="212" spans="1:16" x14ac:dyDescent="0.3">
      <c r="A212">
        <v>211</v>
      </c>
      <c r="B212" s="1">
        <v>40754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>
        <v>0.80416699999999997</v>
      </c>
      <c r="K212">
        <v>0.72853699999999999</v>
      </c>
      <c r="L212">
        <v>0.465833</v>
      </c>
      <c r="M212">
        <v>0.16853699999999999</v>
      </c>
      <c r="N212">
        <v>1559</v>
      </c>
      <c r="O212">
        <v>2916</v>
      </c>
      <c r="P212">
        <v>4475</v>
      </c>
    </row>
    <row r="213" spans="1:16" x14ac:dyDescent="0.3">
      <c r="A213">
        <v>212</v>
      </c>
      <c r="B213" s="1">
        <v>40755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>
        <v>0.80583300000000002</v>
      </c>
      <c r="K213">
        <v>0.729796</v>
      </c>
      <c r="L213">
        <v>0.48083300000000001</v>
      </c>
      <c r="M213">
        <v>0.16481299999999999</v>
      </c>
      <c r="N213">
        <v>1524</v>
      </c>
      <c r="O213">
        <v>2778</v>
      </c>
      <c r="P213">
        <v>4302</v>
      </c>
    </row>
    <row r="214" spans="1:16" x14ac:dyDescent="0.3">
      <c r="A214">
        <v>213</v>
      </c>
      <c r="B214" s="1">
        <v>40756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>
        <v>0.77166699999999999</v>
      </c>
      <c r="K214">
        <v>0.70329200000000003</v>
      </c>
      <c r="L214">
        <v>0.55083300000000002</v>
      </c>
      <c r="M214">
        <v>0.156717</v>
      </c>
      <c r="N214">
        <v>729</v>
      </c>
      <c r="O214">
        <v>3537</v>
      </c>
      <c r="P214">
        <v>4266</v>
      </c>
    </row>
    <row r="215" spans="1:16" x14ac:dyDescent="0.3">
      <c r="A215">
        <v>214</v>
      </c>
      <c r="B215" s="1">
        <v>40757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>
        <v>0.78333299999999995</v>
      </c>
      <c r="K215">
        <v>0.70707100000000001</v>
      </c>
      <c r="L215">
        <v>0.49125000000000002</v>
      </c>
      <c r="M215">
        <v>0.20585000000000001</v>
      </c>
      <c r="N215">
        <v>801</v>
      </c>
      <c r="O215">
        <v>4044</v>
      </c>
      <c r="P215">
        <v>4845</v>
      </c>
    </row>
    <row r="216" spans="1:16" x14ac:dyDescent="0.3">
      <c r="A216">
        <v>215</v>
      </c>
      <c r="B216" s="1">
        <v>40758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>
        <v>0.73166699999999996</v>
      </c>
      <c r="K216">
        <v>0.67993700000000001</v>
      </c>
      <c r="L216">
        <v>0.65749999999999997</v>
      </c>
      <c r="M216">
        <v>0.13558300000000001</v>
      </c>
      <c r="N216">
        <v>467</v>
      </c>
      <c r="O216">
        <v>3107</v>
      </c>
      <c r="P216">
        <v>3574</v>
      </c>
    </row>
    <row r="217" spans="1:16" x14ac:dyDescent="0.3">
      <c r="A217">
        <v>216</v>
      </c>
      <c r="B217" s="1">
        <v>40759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>
        <v>0.71</v>
      </c>
      <c r="K217">
        <v>0.66478800000000005</v>
      </c>
      <c r="L217">
        <v>0.75749999999999995</v>
      </c>
      <c r="M217">
        <v>0.19714999999999999</v>
      </c>
      <c r="N217">
        <v>799</v>
      </c>
      <c r="O217">
        <v>3777</v>
      </c>
      <c r="P217">
        <v>4576</v>
      </c>
    </row>
    <row r="218" spans="1:16" x14ac:dyDescent="0.3">
      <c r="A218">
        <v>217</v>
      </c>
      <c r="B218" s="1">
        <v>40760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>
        <v>0.71083300000000005</v>
      </c>
      <c r="K218">
        <v>0.65656700000000001</v>
      </c>
      <c r="L218">
        <v>0.63083299999999998</v>
      </c>
      <c r="M218">
        <v>0.184696</v>
      </c>
      <c r="N218">
        <v>1023</v>
      </c>
      <c r="O218">
        <v>3843</v>
      </c>
      <c r="P218">
        <v>4866</v>
      </c>
    </row>
    <row r="219" spans="1:16" x14ac:dyDescent="0.3">
      <c r="A219">
        <v>218</v>
      </c>
      <c r="B219" s="1">
        <v>40761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>
        <v>0.71666700000000005</v>
      </c>
      <c r="K219">
        <v>0.67615400000000003</v>
      </c>
      <c r="L219">
        <v>0.755</v>
      </c>
      <c r="M219">
        <v>0.22825000000000001</v>
      </c>
      <c r="N219">
        <v>1521</v>
      </c>
      <c r="O219">
        <v>2773</v>
      </c>
      <c r="P219">
        <v>4294</v>
      </c>
    </row>
    <row r="220" spans="1:16" x14ac:dyDescent="0.3">
      <c r="A220">
        <v>219</v>
      </c>
      <c r="B220" s="1">
        <v>40762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>
        <v>0.74250000000000005</v>
      </c>
      <c r="K220">
        <v>0.71529200000000004</v>
      </c>
      <c r="L220">
        <v>0.75291699999999995</v>
      </c>
      <c r="M220">
        <v>0.201487</v>
      </c>
      <c r="N220">
        <v>1298</v>
      </c>
      <c r="O220">
        <v>2487</v>
      </c>
      <c r="P220">
        <v>3785</v>
      </c>
    </row>
    <row r="221" spans="1:16" x14ac:dyDescent="0.3">
      <c r="A221">
        <v>220</v>
      </c>
      <c r="B221" s="1">
        <v>40763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0.76500000000000001</v>
      </c>
      <c r="K221">
        <v>0.70328299999999999</v>
      </c>
      <c r="L221">
        <v>0.59208300000000003</v>
      </c>
      <c r="M221">
        <v>0.19217500000000001</v>
      </c>
      <c r="N221">
        <v>846</v>
      </c>
      <c r="O221">
        <v>3480</v>
      </c>
      <c r="P221">
        <v>4326</v>
      </c>
    </row>
    <row r="222" spans="1:16" x14ac:dyDescent="0.3">
      <c r="A222">
        <v>221</v>
      </c>
      <c r="B222" s="1">
        <v>40764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>
        <v>0.77500000000000002</v>
      </c>
      <c r="K222">
        <v>0.72412100000000001</v>
      </c>
      <c r="L222">
        <v>0.57041699999999995</v>
      </c>
      <c r="M222">
        <v>0.15112100000000001</v>
      </c>
      <c r="N222">
        <v>907</v>
      </c>
      <c r="O222">
        <v>3695</v>
      </c>
      <c r="P222">
        <v>4602</v>
      </c>
    </row>
    <row r="223" spans="1:16" x14ac:dyDescent="0.3">
      <c r="A223">
        <v>222</v>
      </c>
      <c r="B223" s="1">
        <v>40765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>
        <v>0.76666699999999999</v>
      </c>
      <c r="K223">
        <v>0.68498300000000001</v>
      </c>
      <c r="L223">
        <v>0.42416700000000002</v>
      </c>
      <c r="M223">
        <v>0.20025799999999999</v>
      </c>
      <c r="N223">
        <v>884</v>
      </c>
      <c r="O223">
        <v>3896</v>
      </c>
      <c r="P223">
        <v>4780</v>
      </c>
    </row>
    <row r="224" spans="1:16" x14ac:dyDescent="0.3">
      <c r="A224">
        <v>223</v>
      </c>
      <c r="B224" s="1">
        <v>40766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>
        <v>0.71750000000000003</v>
      </c>
      <c r="K224">
        <v>0.65152100000000002</v>
      </c>
      <c r="L224">
        <v>0.42375000000000002</v>
      </c>
      <c r="M224">
        <v>0.164796</v>
      </c>
      <c r="N224">
        <v>812</v>
      </c>
      <c r="O224">
        <v>3980</v>
      </c>
      <c r="P224">
        <v>4792</v>
      </c>
    </row>
    <row r="225" spans="1:16" x14ac:dyDescent="0.3">
      <c r="A225">
        <v>224</v>
      </c>
      <c r="B225" s="1">
        <v>40767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>
        <v>0.70833299999999999</v>
      </c>
      <c r="K225">
        <v>0.65404200000000001</v>
      </c>
      <c r="L225">
        <v>0.41499999999999998</v>
      </c>
      <c r="M225">
        <v>0.12562100000000001</v>
      </c>
      <c r="N225">
        <v>1051</v>
      </c>
      <c r="O225">
        <v>3854</v>
      </c>
      <c r="P225">
        <v>4905</v>
      </c>
    </row>
    <row r="226" spans="1:16" x14ac:dyDescent="0.3">
      <c r="A226">
        <v>225</v>
      </c>
      <c r="B226" s="1">
        <v>40768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>
        <v>0.68583300000000003</v>
      </c>
      <c r="K226">
        <v>0.64585800000000004</v>
      </c>
      <c r="L226">
        <v>0.72958299999999998</v>
      </c>
      <c r="M226">
        <v>0.211454</v>
      </c>
      <c r="N226">
        <v>1504</v>
      </c>
      <c r="O226">
        <v>2646</v>
      </c>
      <c r="P226">
        <v>4150</v>
      </c>
    </row>
    <row r="227" spans="1:16" x14ac:dyDescent="0.3">
      <c r="A227">
        <v>226</v>
      </c>
      <c r="B227" s="1">
        <v>40769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>
        <v>0.67666700000000002</v>
      </c>
      <c r="K227">
        <v>0.62438800000000005</v>
      </c>
      <c r="L227">
        <v>0.8175</v>
      </c>
      <c r="M227">
        <v>0.222633</v>
      </c>
      <c r="N227">
        <v>1338</v>
      </c>
      <c r="O227">
        <v>2482</v>
      </c>
      <c r="P227">
        <v>3820</v>
      </c>
    </row>
    <row r="228" spans="1:16" x14ac:dyDescent="0.3">
      <c r="A228">
        <v>227</v>
      </c>
      <c r="B228" s="1">
        <v>40770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>
        <v>0.66583300000000001</v>
      </c>
      <c r="K228">
        <v>0.61616700000000002</v>
      </c>
      <c r="L228">
        <v>0.71208300000000002</v>
      </c>
      <c r="M228">
        <v>0.208954</v>
      </c>
      <c r="N228">
        <v>775</v>
      </c>
      <c r="O228">
        <v>3563</v>
      </c>
      <c r="P228">
        <v>4338</v>
      </c>
    </row>
    <row r="229" spans="1:16" x14ac:dyDescent="0.3">
      <c r="A229">
        <v>228</v>
      </c>
      <c r="B229" s="1">
        <v>40771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>
        <v>0.70083300000000004</v>
      </c>
      <c r="K229">
        <v>0.64583699999999999</v>
      </c>
      <c r="L229">
        <v>0.57833299999999999</v>
      </c>
      <c r="M229">
        <v>0.23632900000000001</v>
      </c>
      <c r="N229">
        <v>721</v>
      </c>
      <c r="O229">
        <v>4004</v>
      </c>
      <c r="P229">
        <v>4725</v>
      </c>
    </row>
    <row r="230" spans="1:16" x14ac:dyDescent="0.3">
      <c r="A230">
        <v>229</v>
      </c>
      <c r="B230" s="1">
        <v>40772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>
        <v>0.723333</v>
      </c>
      <c r="K230">
        <v>0.66667100000000001</v>
      </c>
      <c r="L230">
        <v>0.57541699999999996</v>
      </c>
      <c r="M230">
        <v>0.14366699999999999</v>
      </c>
      <c r="N230">
        <v>668</v>
      </c>
      <c r="O230">
        <v>4026</v>
      </c>
      <c r="P230">
        <v>4694</v>
      </c>
    </row>
    <row r="231" spans="1:16" x14ac:dyDescent="0.3">
      <c r="A231">
        <v>230</v>
      </c>
      <c r="B231" s="1">
        <v>40773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>
        <v>0.71166700000000005</v>
      </c>
      <c r="K231">
        <v>0.66225800000000001</v>
      </c>
      <c r="L231">
        <v>0.65458300000000003</v>
      </c>
      <c r="M231">
        <v>0.233208</v>
      </c>
      <c r="N231">
        <v>639</v>
      </c>
      <c r="O231">
        <v>3166</v>
      </c>
      <c r="P231">
        <v>3805</v>
      </c>
    </row>
    <row r="232" spans="1:16" x14ac:dyDescent="0.3">
      <c r="A232">
        <v>231</v>
      </c>
      <c r="B232" s="1">
        <v>40774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>
        <v>0.68500000000000005</v>
      </c>
      <c r="K232">
        <v>0.63322100000000003</v>
      </c>
      <c r="L232">
        <v>0.72291700000000003</v>
      </c>
      <c r="M232">
        <v>0.13930799999999999</v>
      </c>
      <c r="N232">
        <v>797</v>
      </c>
      <c r="O232">
        <v>3356</v>
      </c>
      <c r="P232">
        <v>4153</v>
      </c>
    </row>
    <row r="233" spans="1:16" x14ac:dyDescent="0.3">
      <c r="A233">
        <v>232</v>
      </c>
      <c r="B233" s="1">
        <v>40775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>
        <v>0.69750000000000001</v>
      </c>
      <c r="K233">
        <v>0.64899600000000002</v>
      </c>
      <c r="L233">
        <v>0.67416699999999996</v>
      </c>
      <c r="M233">
        <v>0.104467</v>
      </c>
      <c r="N233">
        <v>1914</v>
      </c>
      <c r="O233">
        <v>3277</v>
      </c>
      <c r="P233">
        <v>5191</v>
      </c>
    </row>
    <row r="234" spans="1:16" x14ac:dyDescent="0.3">
      <c r="A234">
        <v>233</v>
      </c>
      <c r="B234" s="1">
        <v>40776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>
        <v>0.71083300000000005</v>
      </c>
      <c r="K234">
        <v>0.67552500000000004</v>
      </c>
      <c r="L234">
        <v>0.77</v>
      </c>
      <c r="M234">
        <v>0.248754</v>
      </c>
      <c r="N234">
        <v>1249</v>
      </c>
      <c r="O234">
        <v>2624</v>
      </c>
      <c r="P234">
        <v>3873</v>
      </c>
    </row>
    <row r="235" spans="1:16" x14ac:dyDescent="0.3">
      <c r="A235">
        <v>234</v>
      </c>
      <c r="B235" s="1">
        <v>40777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>
        <v>0.69166700000000003</v>
      </c>
      <c r="K235">
        <v>0.63825399999999999</v>
      </c>
      <c r="L235">
        <v>0.47</v>
      </c>
      <c r="M235">
        <v>0.27675</v>
      </c>
      <c r="N235">
        <v>833</v>
      </c>
      <c r="O235">
        <v>3925</v>
      </c>
      <c r="P235">
        <v>4758</v>
      </c>
    </row>
    <row r="236" spans="1:16" x14ac:dyDescent="0.3">
      <c r="A236">
        <v>235</v>
      </c>
      <c r="B236" s="1">
        <v>40778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>
        <v>0.64083299999999999</v>
      </c>
      <c r="K236">
        <v>0.60606700000000002</v>
      </c>
      <c r="L236">
        <v>0.45541700000000002</v>
      </c>
      <c r="M236">
        <v>0.146763</v>
      </c>
      <c r="N236">
        <v>1281</v>
      </c>
      <c r="O236">
        <v>4614</v>
      </c>
      <c r="P236">
        <v>5895</v>
      </c>
    </row>
    <row r="237" spans="1:16" x14ac:dyDescent="0.3">
      <c r="A237">
        <v>236</v>
      </c>
      <c r="B237" s="1">
        <v>40779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>
        <v>0.67333299999999996</v>
      </c>
      <c r="K237">
        <v>0.63069200000000003</v>
      </c>
      <c r="L237">
        <v>0.60499999999999998</v>
      </c>
      <c r="M237">
        <v>0.253108</v>
      </c>
      <c r="N237">
        <v>949</v>
      </c>
      <c r="O237">
        <v>4181</v>
      </c>
      <c r="P237">
        <v>5130</v>
      </c>
    </row>
    <row r="238" spans="1:16" x14ac:dyDescent="0.3">
      <c r="A238">
        <v>237</v>
      </c>
      <c r="B238" s="1">
        <v>40780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>
        <v>0.68416699999999997</v>
      </c>
      <c r="K238">
        <v>0.64585400000000004</v>
      </c>
      <c r="L238">
        <v>0.77166699999999999</v>
      </c>
      <c r="M238">
        <v>0.21083299999999999</v>
      </c>
      <c r="N238">
        <v>435</v>
      </c>
      <c r="O238">
        <v>3107</v>
      </c>
      <c r="P238">
        <v>3542</v>
      </c>
    </row>
    <row r="239" spans="1:16" x14ac:dyDescent="0.3">
      <c r="A239">
        <v>238</v>
      </c>
      <c r="B239" s="1">
        <v>40781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>
        <v>0.7</v>
      </c>
      <c r="K239">
        <v>0.65973300000000001</v>
      </c>
      <c r="L239">
        <v>0.76124999999999998</v>
      </c>
      <c r="M239">
        <v>8.3962499999999995E-2</v>
      </c>
      <c r="N239">
        <v>768</v>
      </c>
      <c r="O239">
        <v>3893</v>
      </c>
      <c r="P239">
        <v>4661</v>
      </c>
    </row>
    <row r="240" spans="1:16" x14ac:dyDescent="0.3">
      <c r="A240">
        <v>239</v>
      </c>
      <c r="B240" s="1">
        <v>40782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>
        <v>0.68</v>
      </c>
      <c r="K240">
        <v>0.63555600000000001</v>
      </c>
      <c r="L240">
        <v>0.85</v>
      </c>
      <c r="M240">
        <v>0.37561699999999998</v>
      </c>
      <c r="N240">
        <v>226</v>
      </c>
      <c r="O240">
        <v>889</v>
      </c>
      <c r="P240">
        <v>1115</v>
      </c>
    </row>
    <row r="241" spans="1:16" x14ac:dyDescent="0.3">
      <c r="A241">
        <v>240</v>
      </c>
      <c r="B241" s="1">
        <v>40783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>
        <v>0.70705899999999999</v>
      </c>
      <c r="K241">
        <v>0.64795899999999995</v>
      </c>
      <c r="L241">
        <v>0.56176499999999996</v>
      </c>
      <c r="M241">
        <v>0.30465900000000001</v>
      </c>
      <c r="N241">
        <v>1415</v>
      </c>
      <c r="O241">
        <v>2919</v>
      </c>
      <c r="P241">
        <v>4334</v>
      </c>
    </row>
    <row r="242" spans="1:16" x14ac:dyDescent="0.3">
      <c r="A242">
        <v>241</v>
      </c>
      <c r="B242" s="1">
        <v>40784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>
        <v>0.63666699999999998</v>
      </c>
      <c r="K242">
        <v>0.607958</v>
      </c>
      <c r="L242">
        <v>0.55458300000000005</v>
      </c>
      <c r="M242">
        <v>0.15982499999999999</v>
      </c>
      <c r="N242">
        <v>729</v>
      </c>
      <c r="O242">
        <v>3905</v>
      </c>
      <c r="P242">
        <v>4634</v>
      </c>
    </row>
    <row r="243" spans="1:16" x14ac:dyDescent="0.3">
      <c r="A243">
        <v>242</v>
      </c>
      <c r="B243" s="1">
        <v>40785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>
        <v>0.63916700000000004</v>
      </c>
      <c r="K243">
        <v>0.59470400000000001</v>
      </c>
      <c r="L243">
        <v>0.54833299999999996</v>
      </c>
      <c r="M243">
        <v>0.12500800000000001</v>
      </c>
      <c r="N243">
        <v>775</v>
      </c>
      <c r="O243">
        <v>4429</v>
      </c>
      <c r="P243">
        <v>5204</v>
      </c>
    </row>
    <row r="244" spans="1:16" x14ac:dyDescent="0.3">
      <c r="A244">
        <v>243</v>
      </c>
      <c r="B244" s="1">
        <v>40786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>
        <v>0.656667</v>
      </c>
      <c r="K244">
        <v>0.61112100000000003</v>
      </c>
      <c r="L244">
        <v>0.59791700000000003</v>
      </c>
      <c r="M244">
        <v>8.3333299999999999E-2</v>
      </c>
      <c r="N244">
        <v>688</v>
      </c>
      <c r="O244">
        <v>4370</v>
      </c>
      <c r="P244">
        <v>5058</v>
      </c>
    </row>
    <row r="245" spans="1:16" x14ac:dyDescent="0.3">
      <c r="A245">
        <v>244</v>
      </c>
      <c r="B245" s="1">
        <v>40787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>
        <v>0.65500000000000003</v>
      </c>
      <c r="K245">
        <v>0.61492100000000005</v>
      </c>
      <c r="L245">
        <v>0.63916700000000004</v>
      </c>
      <c r="M245">
        <v>0.14179600000000001</v>
      </c>
      <c r="N245">
        <v>783</v>
      </c>
      <c r="O245">
        <v>4332</v>
      </c>
      <c r="P245">
        <v>5115</v>
      </c>
    </row>
    <row r="246" spans="1:16" x14ac:dyDescent="0.3">
      <c r="A246">
        <v>245</v>
      </c>
      <c r="B246" s="1">
        <v>40788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>
        <v>0.64333300000000004</v>
      </c>
      <c r="K246">
        <v>0.60480800000000001</v>
      </c>
      <c r="L246">
        <v>0.72708300000000003</v>
      </c>
      <c r="M246">
        <v>0.139929</v>
      </c>
      <c r="N246">
        <v>875</v>
      </c>
      <c r="O246">
        <v>3852</v>
      </c>
      <c r="P246">
        <v>4727</v>
      </c>
    </row>
    <row r="247" spans="1:16" x14ac:dyDescent="0.3">
      <c r="A247">
        <v>246</v>
      </c>
      <c r="B247" s="1">
        <v>40789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>
        <v>0.66916699999999996</v>
      </c>
      <c r="K247">
        <v>0.63321300000000003</v>
      </c>
      <c r="L247">
        <v>0.71666700000000005</v>
      </c>
      <c r="M247">
        <v>0.18532499999999999</v>
      </c>
      <c r="N247">
        <v>1935</v>
      </c>
      <c r="O247">
        <v>2549</v>
      </c>
      <c r="P247">
        <v>4484</v>
      </c>
    </row>
    <row r="248" spans="1:16" x14ac:dyDescent="0.3">
      <c r="A248">
        <v>247</v>
      </c>
      <c r="B248" s="1">
        <v>40790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>
        <v>0.70916699999999999</v>
      </c>
      <c r="K248">
        <v>0.66542900000000005</v>
      </c>
      <c r="L248">
        <v>0.74208300000000005</v>
      </c>
      <c r="M248">
        <v>0.20646700000000001</v>
      </c>
      <c r="N248">
        <v>2521</v>
      </c>
      <c r="O248">
        <v>2419</v>
      </c>
      <c r="P248">
        <v>4940</v>
      </c>
    </row>
    <row r="249" spans="1:16" x14ac:dyDescent="0.3">
      <c r="A249">
        <v>248</v>
      </c>
      <c r="B249" s="1">
        <v>40791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>
        <v>0.67333299999999996</v>
      </c>
      <c r="K249">
        <v>0.62564600000000004</v>
      </c>
      <c r="L249">
        <v>0.79041700000000004</v>
      </c>
      <c r="M249">
        <v>0.212696</v>
      </c>
      <c r="N249">
        <v>1236</v>
      </c>
      <c r="O249">
        <v>2115</v>
      </c>
      <c r="P249">
        <v>3351</v>
      </c>
    </row>
    <row r="250" spans="1:16" x14ac:dyDescent="0.3">
      <c r="A250">
        <v>249</v>
      </c>
      <c r="B250" s="1">
        <v>40792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>
        <v>0.54</v>
      </c>
      <c r="K250">
        <v>0.51519999999999999</v>
      </c>
      <c r="L250">
        <v>0.886957</v>
      </c>
      <c r="M250">
        <v>0.343943</v>
      </c>
      <c r="N250">
        <v>204</v>
      </c>
      <c r="O250">
        <v>2506</v>
      </c>
      <c r="P250">
        <v>2710</v>
      </c>
    </row>
    <row r="251" spans="1:16" x14ac:dyDescent="0.3">
      <c r="A251">
        <v>250</v>
      </c>
      <c r="B251" s="1">
        <v>40793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>
        <v>0.59916700000000001</v>
      </c>
      <c r="K251">
        <v>0.54422899999999996</v>
      </c>
      <c r="L251">
        <v>0.91708299999999998</v>
      </c>
      <c r="M251">
        <v>9.7020800000000004E-2</v>
      </c>
      <c r="N251">
        <v>118</v>
      </c>
      <c r="O251">
        <v>1878</v>
      </c>
      <c r="P251">
        <v>1996</v>
      </c>
    </row>
    <row r="252" spans="1:16" x14ac:dyDescent="0.3">
      <c r="A252">
        <v>251</v>
      </c>
      <c r="B252" s="1">
        <v>40794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>
        <v>0.63391299999999995</v>
      </c>
      <c r="K252">
        <v>0.55536099999999999</v>
      </c>
      <c r="L252">
        <v>0.93956499999999998</v>
      </c>
      <c r="M252">
        <v>0.192748</v>
      </c>
      <c r="N252">
        <v>153</v>
      </c>
      <c r="O252">
        <v>1689</v>
      </c>
      <c r="P252">
        <v>1842</v>
      </c>
    </row>
    <row r="253" spans="1:16" x14ac:dyDescent="0.3">
      <c r="A253">
        <v>252</v>
      </c>
      <c r="B253" s="1">
        <v>40795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>
        <v>0.65</v>
      </c>
      <c r="K253">
        <v>0.57894599999999996</v>
      </c>
      <c r="L253">
        <v>0.89791699999999997</v>
      </c>
      <c r="M253">
        <v>0.124379</v>
      </c>
      <c r="N253">
        <v>417</v>
      </c>
      <c r="O253">
        <v>3127</v>
      </c>
      <c r="P253">
        <v>3544</v>
      </c>
    </row>
    <row r="254" spans="1:16" x14ac:dyDescent="0.3">
      <c r="A254">
        <v>253</v>
      </c>
      <c r="B254" s="1">
        <v>40796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>
        <v>0.66</v>
      </c>
      <c r="K254">
        <v>0.607962</v>
      </c>
      <c r="L254">
        <v>0.75375000000000003</v>
      </c>
      <c r="M254">
        <v>0.15360799999999999</v>
      </c>
      <c r="N254">
        <v>1750</v>
      </c>
      <c r="O254">
        <v>3595</v>
      </c>
      <c r="P254">
        <v>5345</v>
      </c>
    </row>
    <row r="255" spans="1:16" x14ac:dyDescent="0.3">
      <c r="A255">
        <v>254</v>
      </c>
      <c r="B255" s="1">
        <v>40797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>
        <v>0.65333300000000005</v>
      </c>
      <c r="K255">
        <v>0.60922900000000002</v>
      </c>
      <c r="L255">
        <v>0.71375</v>
      </c>
      <c r="M255">
        <v>0.115054</v>
      </c>
      <c r="N255">
        <v>1633</v>
      </c>
      <c r="O255">
        <v>3413</v>
      </c>
      <c r="P255">
        <v>5046</v>
      </c>
    </row>
    <row r="256" spans="1:16" x14ac:dyDescent="0.3">
      <c r="A256">
        <v>255</v>
      </c>
      <c r="B256" s="1">
        <v>40798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>
        <v>0.64434800000000003</v>
      </c>
      <c r="K256">
        <v>0.60213000000000005</v>
      </c>
      <c r="L256">
        <v>0.69217399999999996</v>
      </c>
      <c r="M256">
        <v>8.8913000000000006E-2</v>
      </c>
      <c r="N256">
        <v>690</v>
      </c>
      <c r="O256">
        <v>4023</v>
      </c>
      <c r="P256">
        <v>4713</v>
      </c>
    </row>
    <row r="257" spans="1:16" x14ac:dyDescent="0.3">
      <c r="A257">
        <v>256</v>
      </c>
      <c r="B257" s="1">
        <v>40799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>
        <v>0.65083299999999999</v>
      </c>
      <c r="K257">
        <v>0.60355400000000003</v>
      </c>
      <c r="L257">
        <v>0.71250000000000002</v>
      </c>
      <c r="M257">
        <v>0.14180400000000001</v>
      </c>
      <c r="N257">
        <v>701</v>
      </c>
      <c r="O257">
        <v>4062</v>
      </c>
      <c r="P257">
        <v>4763</v>
      </c>
    </row>
    <row r="258" spans="1:16" x14ac:dyDescent="0.3">
      <c r="A258">
        <v>257</v>
      </c>
      <c r="B258" s="1">
        <v>40800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>
        <v>0.67333299999999996</v>
      </c>
      <c r="K258">
        <v>0.62690000000000001</v>
      </c>
      <c r="L258">
        <v>0.69708300000000001</v>
      </c>
      <c r="M258">
        <v>0.1673</v>
      </c>
      <c r="N258">
        <v>647</v>
      </c>
      <c r="O258">
        <v>4138</v>
      </c>
      <c r="P258">
        <v>4785</v>
      </c>
    </row>
    <row r="259" spans="1:16" x14ac:dyDescent="0.3">
      <c r="A259">
        <v>258</v>
      </c>
      <c r="B259" s="1">
        <v>40801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>
        <v>0.57750000000000001</v>
      </c>
      <c r="K259">
        <v>0.55367100000000002</v>
      </c>
      <c r="L259">
        <v>0.70916699999999999</v>
      </c>
      <c r="M259">
        <v>0.271146</v>
      </c>
      <c r="N259">
        <v>428</v>
      </c>
      <c r="O259">
        <v>3231</v>
      </c>
      <c r="P259">
        <v>3659</v>
      </c>
    </row>
    <row r="260" spans="1:16" x14ac:dyDescent="0.3">
      <c r="A260">
        <v>259</v>
      </c>
      <c r="B260" s="1">
        <v>40802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>
        <v>0.469167</v>
      </c>
      <c r="K260">
        <v>0.46147500000000002</v>
      </c>
      <c r="L260">
        <v>0.59041699999999997</v>
      </c>
      <c r="M260">
        <v>0.164183</v>
      </c>
      <c r="N260">
        <v>742</v>
      </c>
      <c r="O260">
        <v>4018</v>
      </c>
      <c r="P260">
        <v>4760</v>
      </c>
    </row>
    <row r="261" spans="1:16" x14ac:dyDescent="0.3">
      <c r="A261">
        <v>260</v>
      </c>
      <c r="B261" s="1">
        <v>40803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>
        <v>0.49166700000000002</v>
      </c>
      <c r="K261">
        <v>0.47851199999999999</v>
      </c>
      <c r="L261">
        <v>0.718333</v>
      </c>
      <c r="M261">
        <v>0.18967500000000001</v>
      </c>
      <c r="N261">
        <v>1434</v>
      </c>
      <c r="O261">
        <v>3077</v>
      </c>
      <c r="P261">
        <v>4511</v>
      </c>
    </row>
    <row r="262" spans="1:16" x14ac:dyDescent="0.3">
      <c r="A262">
        <v>261</v>
      </c>
      <c r="B262" s="1">
        <v>40804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>
        <v>0.50749999999999995</v>
      </c>
      <c r="K262">
        <v>0.490537</v>
      </c>
      <c r="L262">
        <v>0.69499999999999995</v>
      </c>
      <c r="M262">
        <v>0.178483</v>
      </c>
      <c r="N262">
        <v>1353</v>
      </c>
      <c r="O262">
        <v>2921</v>
      </c>
      <c r="P262">
        <v>4274</v>
      </c>
    </row>
    <row r="263" spans="1:16" x14ac:dyDescent="0.3">
      <c r="A263">
        <v>262</v>
      </c>
      <c r="B263" s="1">
        <v>40805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>
        <v>0.54916699999999996</v>
      </c>
      <c r="K263">
        <v>0.52967500000000001</v>
      </c>
      <c r="L263">
        <v>0.69</v>
      </c>
      <c r="M263">
        <v>0.15174199999999999</v>
      </c>
      <c r="N263">
        <v>691</v>
      </c>
      <c r="O263">
        <v>3848</v>
      </c>
      <c r="P263">
        <v>4539</v>
      </c>
    </row>
    <row r="264" spans="1:16" x14ac:dyDescent="0.3">
      <c r="A264">
        <v>263</v>
      </c>
      <c r="B264" s="1">
        <v>40806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>
        <v>0.56166700000000003</v>
      </c>
      <c r="K264">
        <v>0.53221700000000005</v>
      </c>
      <c r="L264">
        <v>0.88124999999999998</v>
      </c>
      <c r="M264">
        <v>0.13495399999999999</v>
      </c>
      <c r="N264">
        <v>438</v>
      </c>
      <c r="O264">
        <v>3203</v>
      </c>
      <c r="P264">
        <v>3641</v>
      </c>
    </row>
    <row r="265" spans="1:16" x14ac:dyDescent="0.3">
      <c r="A265">
        <v>264</v>
      </c>
      <c r="B265" s="1">
        <v>40807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>
        <v>0.59499999999999997</v>
      </c>
      <c r="K265">
        <v>0.55053300000000005</v>
      </c>
      <c r="L265">
        <v>0.9</v>
      </c>
      <c r="M265">
        <v>9.6404199999999995E-2</v>
      </c>
      <c r="N265">
        <v>539</v>
      </c>
      <c r="O265">
        <v>3813</v>
      </c>
      <c r="P265">
        <v>4352</v>
      </c>
    </row>
    <row r="266" spans="1:16" x14ac:dyDescent="0.3">
      <c r="A266">
        <v>265</v>
      </c>
      <c r="B266" s="1">
        <v>40808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>
        <v>0.62833300000000003</v>
      </c>
      <c r="K266">
        <v>0.55496299999999998</v>
      </c>
      <c r="L266">
        <v>0.90208299999999997</v>
      </c>
      <c r="M266">
        <v>0.12812499999999999</v>
      </c>
      <c r="N266">
        <v>555</v>
      </c>
      <c r="O266">
        <v>4240</v>
      </c>
      <c r="P266">
        <v>4795</v>
      </c>
    </row>
    <row r="267" spans="1:16" x14ac:dyDescent="0.3">
      <c r="A267">
        <v>266</v>
      </c>
      <c r="B267" s="1">
        <v>40809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>
        <v>0.60916700000000001</v>
      </c>
      <c r="K267">
        <v>0.52212499999999995</v>
      </c>
      <c r="L267">
        <v>0.97250000000000003</v>
      </c>
      <c r="M267">
        <v>7.8366699999999997E-2</v>
      </c>
      <c r="N267">
        <v>258</v>
      </c>
      <c r="O267">
        <v>2137</v>
      </c>
      <c r="P267">
        <v>2395</v>
      </c>
    </row>
    <row r="268" spans="1:16" x14ac:dyDescent="0.3">
      <c r="A268">
        <v>267</v>
      </c>
      <c r="B268" s="1">
        <v>40810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>
        <v>0.60666699999999996</v>
      </c>
      <c r="K268">
        <v>0.56441200000000002</v>
      </c>
      <c r="L268">
        <v>0.86250000000000004</v>
      </c>
      <c r="M268">
        <v>7.8383300000000003E-2</v>
      </c>
      <c r="N268">
        <v>1776</v>
      </c>
      <c r="O268">
        <v>3647</v>
      </c>
      <c r="P268">
        <v>5423</v>
      </c>
    </row>
    <row r="269" spans="1:16" x14ac:dyDescent="0.3">
      <c r="A269">
        <v>268</v>
      </c>
      <c r="B269" s="1">
        <v>40811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>
        <v>0.63416700000000004</v>
      </c>
      <c r="K269">
        <v>0.57263699999999995</v>
      </c>
      <c r="L269">
        <v>0.84499999999999997</v>
      </c>
      <c r="M269">
        <v>5.0379199999999999E-2</v>
      </c>
      <c r="N269">
        <v>1544</v>
      </c>
      <c r="O269">
        <v>3466</v>
      </c>
      <c r="P269">
        <v>5010</v>
      </c>
    </row>
    <row r="270" spans="1:16" x14ac:dyDescent="0.3">
      <c r="A270">
        <v>269</v>
      </c>
      <c r="B270" s="1">
        <v>40812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>
        <v>0.64916700000000005</v>
      </c>
      <c r="K270">
        <v>0.58904199999999995</v>
      </c>
      <c r="L270">
        <v>0.848333</v>
      </c>
      <c r="M270">
        <v>0.11070000000000001</v>
      </c>
      <c r="N270">
        <v>684</v>
      </c>
      <c r="O270">
        <v>3946</v>
      </c>
      <c r="P270">
        <v>4630</v>
      </c>
    </row>
    <row r="271" spans="1:16" x14ac:dyDescent="0.3">
      <c r="A271">
        <v>270</v>
      </c>
      <c r="B271" s="1">
        <v>40813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>
        <v>0.63666699999999998</v>
      </c>
      <c r="K271">
        <v>0.57452499999999995</v>
      </c>
      <c r="L271">
        <v>0.88541700000000001</v>
      </c>
      <c r="M271">
        <v>0.118171</v>
      </c>
      <c r="N271">
        <v>477</v>
      </c>
      <c r="O271">
        <v>3643</v>
      </c>
      <c r="P271">
        <v>4120</v>
      </c>
    </row>
    <row r="272" spans="1:16" x14ac:dyDescent="0.3">
      <c r="A272">
        <v>271</v>
      </c>
      <c r="B272" s="1">
        <v>40814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>
        <v>0.63500000000000001</v>
      </c>
      <c r="K272">
        <v>0.57515799999999995</v>
      </c>
      <c r="L272">
        <v>0.84875</v>
      </c>
      <c r="M272">
        <v>0.14862900000000001</v>
      </c>
      <c r="N272">
        <v>480</v>
      </c>
      <c r="O272">
        <v>3427</v>
      </c>
      <c r="P272">
        <v>3907</v>
      </c>
    </row>
    <row r="273" spans="1:16" x14ac:dyDescent="0.3">
      <c r="A273">
        <v>272</v>
      </c>
      <c r="B273" s="1">
        <v>40815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>
        <v>0.61666699999999997</v>
      </c>
      <c r="K273">
        <v>0.57451200000000002</v>
      </c>
      <c r="L273">
        <v>0.69916699999999998</v>
      </c>
      <c r="M273">
        <v>0.17288300000000001</v>
      </c>
      <c r="N273">
        <v>653</v>
      </c>
      <c r="O273">
        <v>4186</v>
      </c>
      <c r="P273">
        <v>4839</v>
      </c>
    </row>
    <row r="274" spans="1:16" x14ac:dyDescent="0.3">
      <c r="A274">
        <v>273</v>
      </c>
      <c r="B274" s="1">
        <v>40816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>
        <v>0.56416699999999997</v>
      </c>
      <c r="K274">
        <v>0.54482900000000001</v>
      </c>
      <c r="L274">
        <v>0.64749999999999996</v>
      </c>
      <c r="M274">
        <v>0.20647499999999999</v>
      </c>
      <c r="N274">
        <v>830</v>
      </c>
      <c r="O274">
        <v>4372</v>
      </c>
      <c r="P274">
        <v>5202</v>
      </c>
    </row>
    <row r="275" spans="1:16" x14ac:dyDescent="0.3">
      <c r="A275">
        <v>274</v>
      </c>
      <c r="B275" s="1">
        <v>40817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>
        <v>0.41</v>
      </c>
      <c r="K275">
        <v>0.41286299999999998</v>
      </c>
      <c r="L275">
        <v>0.75375000000000003</v>
      </c>
      <c r="M275">
        <v>0.292296</v>
      </c>
      <c r="N275">
        <v>480</v>
      </c>
      <c r="O275">
        <v>1949</v>
      </c>
      <c r="P275">
        <v>2429</v>
      </c>
    </row>
    <row r="276" spans="1:16" x14ac:dyDescent="0.3">
      <c r="A276">
        <v>275</v>
      </c>
      <c r="B276" s="1">
        <v>40818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>
        <v>0.35666700000000001</v>
      </c>
      <c r="K276">
        <v>0.34531699999999999</v>
      </c>
      <c r="L276">
        <v>0.79166700000000001</v>
      </c>
      <c r="M276">
        <v>0.22201299999999999</v>
      </c>
      <c r="N276">
        <v>616</v>
      </c>
      <c r="O276">
        <v>2302</v>
      </c>
      <c r="P276">
        <v>2918</v>
      </c>
    </row>
    <row r="277" spans="1:16" x14ac:dyDescent="0.3">
      <c r="A277">
        <v>276</v>
      </c>
      <c r="B277" s="1">
        <v>40819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>
        <v>0.38416699999999998</v>
      </c>
      <c r="K277">
        <v>0.39204600000000001</v>
      </c>
      <c r="L277">
        <v>0.76083299999999998</v>
      </c>
      <c r="M277">
        <v>8.3345799999999998E-2</v>
      </c>
      <c r="N277">
        <v>330</v>
      </c>
      <c r="O277">
        <v>3240</v>
      </c>
      <c r="P277">
        <v>3570</v>
      </c>
    </row>
    <row r="278" spans="1:16" x14ac:dyDescent="0.3">
      <c r="A278">
        <v>277</v>
      </c>
      <c r="B278" s="1">
        <v>40820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>
        <v>0.48416700000000001</v>
      </c>
      <c r="K278">
        <v>0.472858</v>
      </c>
      <c r="L278">
        <v>0.71</v>
      </c>
      <c r="M278">
        <v>0.20585400000000001</v>
      </c>
      <c r="N278">
        <v>486</v>
      </c>
      <c r="O278">
        <v>3970</v>
      </c>
      <c r="P278">
        <v>4456</v>
      </c>
    </row>
    <row r="279" spans="1:16" x14ac:dyDescent="0.3">
      <c r="A279">
        <v>278</v>
      </c>
      <c r="B279" s="1">
        <v>40821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>
        <v>0.53833299999999995</v>
      </c>
      <c r="K279">
        <v>0.527138</v>
      </c>
      <c r="L279">
        <v>0.64791699999999997</v>
      </c>
      <c r="M279">
        <v>0.17724999999999999</v>
      </c>
      <c r="N279">
        <v>559</v>
      </c>
      <c r="O279">
        <v>4267</v>
      </c>
      <c r="P279">
        <v>4826</v>
      </c>
    </row>
    <row r="280" spans="1:16" x14ac:dyDescent="0.3">
      <c r="A280">
        <v>279</v>
      </c>
      <c r="B280" s="1">
        <v>40822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>
        <v>0.49416700000000002</v>
      </c>
      <c r="K280">
        <v>0.48042499999999999</v>
      </c>
      <c r="L280">
        <v>0.62083299999999997</v>
      </c>
      <c r="M280">
        <v>0.13495399999999999</v>
      </c>
      <c r="N280">
        <v>639</v>
      </c>
      <c r="O280">
        <v>4126</v>
      </c>
      <c r="P280">
        <v>4765</v>
      </c>
    </row>
    <row r="281" spans="1:16" x14ac:dyDescent="0.3">
      <c r="A281">
        <v>280</v>
      </c>
      <c r="B281" s="1">
        <v>40823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>
        <v>0.51083299999999998</v>
      </c>
      <c r="K281">
        <v>0.50440399999999996</v>
      </c>
      <c r="L281">
        <v>0.68416699999999997</v>
      </c>
      <c r="M281">
        <v>2.23917E-2</v>
      </c>
      <c r="N281">
        <v>949</v>
      </c>
      <c r="O281">
        <v>4036</v>
      </c>
      <c r="P281">
        <v>4985</v>
      </c>
    </row>
    <row r="282" spans="1:16" x14ac:dyDescent="0.3">
      <c r="A282">
        <v>281</v>
      </c>
      <c r="B282" s="1">
        <v>40824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>
        <v>0.52166699999999999</v>
      </c>
      <c r="K282">
        <v>0.51324199999999998</v>
      </c>
      <c r="L282">
        <v>0.70125000000000004</v>
      </c>
      <c r="M282">
        <v>4.5404199999999999E-2</v>
      </c>
      <c r="N282">
        <v>2235</v>
      </c>
      <c r="O282">
        <v>3174</v>
      </c>
      <c r="P282">
        <v>5409</v>
      </c>
    </row>
    <row r="283" spans="1:16" x14ac:dyDescent="0.3">
      <c r="A283">
        <v>282</v>
      </c>
      <c r="B283" s="1">
        <v>40825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>
        <v>0.54083300000000001</v>
      </c>
      <c r="K283">
        <v>0.52398299999999998</v>
      </c>
      <c r="L283">
        <v>0.72750000000000004</v>
      </c>
      <c r="M283">
        <v>6.3450000000000006E-2</v>
      </c>
      <c r="N283">
        <v>2397</v>
      </c>
      <c r="O283">
        <v>3114</v>
      </c>
      <c r="P283">
        <v>5511</v>
      </c>
    </row>
    <row r="284" spans="1:16" x14ac:dyDescent="0.3">
      <c r="A284">
        <v>283</v>
      </c>
      <c r="B284" s="1">
        <v>40826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>
        <v>0.57083300000000003</v>
      </c>
      <c r="K284">
        <v>0.54292499999999999</v>
      </c>
      <c r="L284">
        <v>0.73375000000000001</v>
      </c>
      <c r="M284">
        <v>4.23042E-2</v>
      </c>
      <c r="N284">
        <v>1514</v>
      </c>
      <c r="O284">
        <v>3603</v>
      </c>
      <c r="P284">
        <v>5117</v>
      </c>
    </row>
    <row r="285" spans="1:16" x14ac:dyDescent="0.3">
      <c r="A285">
        <v>284</v>
      </c>
      <c r="B285" s="1">
        <v>40827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>
        <v>0.56666700000000003</v>
      </c>
      <c r="K285">
        <v>0.54609600000000003</v>
      </c>
      <c r="L285">
        <v>0.80874999999999997</v>
      </c>
      <c r="M285">
        <v>0.143042</v>
      </c>
      <c r="N285">
        <v>667</v>
      </c>
      <c r="O285">
        <v>3896</v>
      </c>
      <c r="P285">
        <v>4563</v>
      </c>
    </row>
    <row r="286" spans="1:16" x14ac:dyDescent="0.3">
      <c r="A286">
        <v>285</v>
      </c>
      <c r="B286" s="1">
        <v>40828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>
        <v>0.54333299999999995</v>
      </c>
      <c r="K286">
        <v>0.51771699999999998</v>
      </c>
      <c r="L286">
        <v>0.90625</v>
      </c>
      <c r="M286">
        <v>0.24815000000000001</v>
      </c>
      <c r="N286">
        <v>217</v>
      </c>
      <c r="O286">
        <v>2199</v>
      </c>
      <c r="P286">
        <v>2416</v>
      </c>
    </row>
    <row r="287" spans="1:16" x14ac:dyDescent="0.3">
      <c r="A287">
        <v>286</v>
      </c>
      <c r="B287" s="1">
        <v>40829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>
        <v>0.589167</v>
      </c>
      <c r="K287">
        <v>0.55180399999999996</v>
      </c>
      <c r="L287">
        <v>0.89666699999999999</v>
      </c>
      <c r="M287">
        <v>0.141787</v>
      </c>
      <c r="N287">
        <v>290</v>
      </c>
      <c r="O287">
        <v>2623</v>
      </c>
      <c r="P287">
        <v>2913</v>
      </c>
    </row>
    <row r="288" spans="1:16" x14ac:dyDescent="0.3">
      <c r="A288">
        <v>287</v>
      </c>
      <c r="B288" s="1">
        <v>40830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>
        <v>0.55083300000000002</v>
      </c>
      <c r="K288">
        <v>0.52967500000000001</v>
      </c>
      <c r="L288">
        <v>0.71625000000000005</v>
      </c>
      <c r="M288">
        <v>0.223883</v>
      </c>
      <c r="N288">
        <v>529</v>
      </c>
      <c r="O288">
        <v>3115</v>
      </c>
      <c r="P288">
        <v>3644</v>
      </c>
    </row>
    <row r="289" spans="1:16" x14ac:dyDescent="0.3">
      <c r="A289">
        <v>288</v>
      </c>
      <c r="B289" s="1">
        <v>40831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>
        <v>0.50666699999999998</v>
      </c>
      <c r="K289">
        <v>0.49872499999999997</v>
      </c>
      <c r="L289">
        <v>0.48333300000000001</v>
      </c>
      <c r="M289">
        <v>0.25808300000000001</v>
      </c>
      <c r="N289">
        <v>1899</v>
      </c>
      <c r="O289">
        <v>3318</v>
      </c>
      <c r="P289">
        <v>5217</v>
      </c>
    </row>
    <row r="290" spans="1:16" x14ac:dyDescent="0.3">
      <c r="A290">
        <v>289</v>
      </c>
      <c r="B290" s="1">
        <v>40832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>
        <v>0.51166699999999998</v>
      </c>
      <c r="K290">
        <v>0.50315399999999999</v>
      </c>
      <c r="L290">
        <v>0.48666700000000002</v>
      </c>
      <c r="M290">
        <v>0.281717</v>
      </c>
      <c r="N290">
        <v>1748</v>
      </c>
      <c r="O290">
        <v>3293</v>
      </c>
      <c r="P290">
        <v>5041</v>
      </c>
    </row>
    <row r="291" spans="1:16" x14ac:dyDescent="0.3">
      <c r="A291">
        <v>290</v>
      </c>
      <c r="B291" s="1">
        <v>40833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>
        <v>0.53416699999999995</v>
      </c>
      <c r="K291">
        <v>0.51072499999999998</v>
      </c>
      <c r="L291">
        <v>0.57958299999999996</v>
      </c>
      <c r="M291">
        <v>0.17537900000000001</v>
      </c>
      <c r="N291">
        <v>713</v>
      </c>
      <c r="O291">
        <v>3857</v>
      </c>
      <c r="P291">
        <v>4570</v>
      </c>
    </row>
    <row r="292" spans="1:16" x14ac:dyDescent="0.3">
      <c r="A292">
        <v>291</v>
      </c>
      <c r="B292" s="1">
        <v>40834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>
        <v>0.53249999999999997</v>
      </c>
      <c r="K292">
        <v>0.52272099999999999</v>
      </c>
      <c r="L292">
        <v>0.70166700000000004</v>
      </c>
      <c r="M292">
        <v>0.110087</v>
      </c>
      <c r="N292">
        <v>637</v>
      </c>
      <c r="O292">
        <v>4111</v>
      </c>
      <c r="P292">
        <v>4748</v>
      </c>
    </row>
    <row r="293" spans="1:16" x14ac:dyDescent="0.3">
      <c r="A293">
        <v>292</v>
      </c>
      <c r="B293" s="1">
        <v>40835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>
        <v>0.54173899999999997</v>
      </c>
      <c r="K293">
        <v>0.51384799999999997</v>
      </c>
      <c r="L293">
        <v>0.89521700000000004</v>
      </c>
      <c r="M293">
        <v>0.243339</v>
      </c>
      <c r="N293">
        <v>254</v>
      </c>
      <c r="O293">
        <v>2170</v>
      </c>
      <c r="P293">
        <v>2424</v>
      </c>
    </row>
    <row r="294" spans="1:16" x14ac:dyDescent="0.3">
      <c r="A294">
        <v>293</v>
      </c>
      <c r="B294" s="1">
        <v>40836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>
        <v>0.47583300000000001</v>
      </c>
      <c r="K294">
        <v>0.46652500000000002</v>
      </c>
      <c r="L294">
        <v>0.63624999999999998</v>
      </c>
      <c r="M294">
        <v>0.42227500000000001</v>
      </c>
      <c r="N294">
        <v>471</v>
      </c>
      <c r="O294">
        <v>3724</v>
      </c>
      <c r="P294">
        <v>4195</v>
      </c>
    </row>
    <row r="295" spans="1:16" x14ac:dyDescent="0.3">
      <c r="A295">
        <v>294</v>
      </c>
      <c r="B295" s="1">
        <v>40837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>
        <v>0.42749999999999999</v>
      </c>
      <c r="K295">
        <v>0.42359599999999997</v>
      </c>
      <c r="L295">
        <v>0.57416699999999998</v>
      </c>
      <c r="M295">
        <v>0.22139600000000001</v>
      </c>
      <c r="N295">
        <v>676</v>
      </c>
      <c r="O295">
        <v>3628</v>
      </c>
      <c r="P295">
        <v>4304</v>
      </c>
    </row>
    <row r="296" spans="1:16" x14ac:dyDescent="0.3">
      <c r="A296">
        <v>295</v>
      </c>
      <c r="B296" s="1">
        <v>40838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>
        <v>0.42249999999999999</v>
      </c>
      <c r="K296">
        <v>0.42549199999999998</v>
      </c>
      <c r="L296">
        <v>0.62916700000000003</v>
      </c>
      <c r="M296">
        <v>9.2666700000000005E-2</v>
      </c>
      <c r="N296">
        <v>1499</v>
      </c>
      <c r="O296">
        <v>2809</v>
      </c>
      <c r="P296">
        <v>4308</v>
      </c>
    </row>
    <row r="297" spans="1:16" x14ac:dyDescent="0.3">
      <c r="A297">
        <v>296</v>
      </c>
      <c r="B297" s="1">
        <v>40839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>
        <v>0.42166700000000001</v>
      </c>
      <c r="K297">
        <v>0.42233300000000001</v>
      </c>
      <c r="L297">
        <v>0.74124999999999996</v>
      </c>
      <c r="M297">
        <v>9.9512500000000004E-2</v>
      </c>
      <c r="N297">
        <v>1619</v>
      </c>
      <c r="O297">
        <v>2762</v>
      </c>
      <c r="P297">
        <v>4381</v>
      </c>
    </row>
    <row r="298" spans="1:16" x14ac:dyDescent="0.3">
      <c r="A298">
        <v>297</v>
      </c>
      <c r="B298" s="1">
        <v>40840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>
        <v>0.46333299999999999</v>
      </c>
      <c r="K298">
        <v>0.457067</v>
      </c>
      <c r="L298">
        <v>0.77208299999999996</v>
      </c>
      <c r="M298">
        <v>0.11879199999999999</v>
      </c>
      <c r="N298">
        <v>699</v>
      </c>
      <c r="O298">
        <v>3488</v>
      </c>
      <c r="P298">
        <v>4187</v>
      </c>
    </row>
    <row r="299" spans="1:16" x14ac:dyDescent="0.3">
      <c r="A299">
        <v>298</v>
      </c>
      <c r="B299" s="1">
        <v>40841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>
        <v>0.471667</v>
      </c>
      <c r="K299">
        <v>0.46337499999999998</v>
      </c>
      <c r="L299">
        <v>0.62291700000000005</v>
      </c>
      <c r="M299">
        <v>0.166658</v>
      </c>
      <c r="N299">
        <v>695</v>
      </c>
      <c r="O299">
        <v>3992</v>
      </c>
      <c r="P299">
        <v>4687</v>
      </c>
    </row>
    <row r="300" spans="1:16" x14ac:dyDescent="0.3">
      <c r="A300">
        <v>299</v>
      </c>
      <c r="B300" s="1">
        <v>40842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>
        <v>0.48416700000000001</v>
      </c>
      <c r="K300">
        <v>0.47284599999999999</v>
      </c>
      <c r="L300">
        <v>0.72041699999999997</v>
      </c>
      <c r="M300">
        <v>0.148642</v>
      </c>
      <c r="N300">
        <v>404</v>
      </c>
      <c r="O300">
        <v>3490</v>
      </c>
      <c r="P300">
        <v>3894</v>
      </c>
    </row>
    <row r="301" spans="1:16" x14ac:dyDescent="0.3">
      <c r="A301">
        <v>300</v>
      </c>
      <c r="B301" s="1">
        <v>40843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>
        <v>0.47</v>
      </c>
      <c r="K301">
        <v>0.45704600000000001</v>
      </c>
      <c r="L301">
        <v>0.812917</v>
      </c>
      <c r="M301">
        <v>0.19776299999999999</v>
      </c>
      <c r="N301">
        <v>240</v>
      </c>
      <c r="O301">
        <v>2419</v>
      </c>
      <c r="P301">
        <v>2659</v>
      </c>
    </row>
    <row r="302" spans="1:16" x14ac:dyDescent="0.3">
      <c r="A302">
        <v>301</v>
      </c>
      <c r="B302" s="1">
        <v>40844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>
        <v>0.33083299999999999</v>
      </c>
      <c r="K302">
        <v>0.31881199999999998</v>
      </c>
      <c r="L302">
        <v>0.58583300000000005</v>
      </c>
      <c r="M302">
        <v>0.22947899999999999</v>
      </c>
      <c r="N302">
        <v>456</v>
      </c>
      <c r="O302">
        <v>3291</v>
      </c>
      <c r="P302">
        <v>3747</v>
      </c>
    </row>
    <row r="303" spans="1:16" x14ac:dyDescent="0.3">
      <c r="A303">
        <v>302</v>
      </c>
      <c r="B303" s="1">
        <v>40845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>
        <v>0.25416699999999998</v>
      </c>
      <c r="K303">
        <v>0.227913</v>
      </c>
      <c r="L303">
        <v>0.88249999999999995</v>
      </c>
      <c r="M303">
        <v>0.35137099999999999</v>
      </c>
      <c r="N303">
        <v>57</v>
      </c>
      <c r="O303">
        <v>570</v>
      </c>
      <c r="P303">
        <v>627</v>
      </c>
    </row>
    <row r="304" spans="1:16" x14ac:dyDescent="0.3">
      <c r="A304">
        <v>303</v>
      </c>
      <c r="B304" s="1">
        <v>40846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>
        <v>0.31916699999999998</v>
      </c>
      <c r="K304">
        <v>0.32132899999999998</v>
      </c>
      <c r="L304">
        <v>0.62375000000000003</v>
      </c>
      <c r="M304">
        <v>0.176617</v>
      </c>
      <c r="N304">
        <v>885</v>
      </c>
      <c r="O304">
        <v>2446</v>
      </c>
      <c r="P304">
        <v>3331</v>
      </c>
    </row>
    <row r="305" spans="1:16" x14ac:dyDescent="0.3">
      <c r="A305">
        <v>304</v>
      </c>
      <c r="B305" s="1">
        <v>40847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>
        <v>0.34</v>
      </c>
      <c r="K305">
        <v>0.35606300000000002</v>
      </c>
      <c r="L305">
        <v>0.70333299999999999</v>
      </c>
      <c r="M305">
        <v>0.10635</v>
      </c>
      <c r="N305">
        <v>362</v>
      </c>
      <c r="O305">
        <v>3307</v>
      </c>
      <c r="P305">
        <v>3669</v>
      </c>
    </row>
    <row r="306" spans="1:16" x14ac:dyDescent="0.3">
      <c r="A306">
        <v>305</v>
      </c>
      <c r="B306" s="1">
        <v>40848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>
        <v>0.40083299999999999</v>
      </c>
      <c r="K306">
        <v>0.397088</v>
      </c>
      <c r="L306">
        <v>0.68374999999999997</v>
      </c>
      <c r="M306">
        <v>0.135571</v>
      </c>
      <c r="N306">
        <v>410</v>
      </c>
      <c r="O306">
        <v>3658</v>
      </c>
      <c r="P306">
        <v>4068</v>
      </c>
    </row>
    <row r="307" spans="1:16" x14ac:dyDescent="0.3">
      <c r="A307">
        <v>306</v>
      </c>
      <c r="B307" s="1">
        <v>40849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>
        <v>0.3775</v>
      </c>
      <c r="K307">
        <v>0.39013300000000001</v>
      </c>
      <c r="L307">
        <v>0.71875</v>
      </c>
      <c r="M307">
        <v>8.2091700000000004E-2</v>
      </c>
      <c r="N307">
        <v>370</v>
      </c>
      <c r="O307">
        <v>3816</v>
      </c>
      <c r="P307">
        <v>4186</v>
      </c>
    </row>
    <row r="308" spans="1:16" x14ac:dyDescent="0.3">
      <c r="A308">
        <v>307</v>
      </c>
      <c r="B308" s="1">
        <v>40850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>
        <v>0.408333</v>
      </c>
      <c r="K308">
        <v>0.40592099999999998</v>
      </c>
      <c r="L308">
        <v>0.70208300000000001</v>
      </c>
      <c r="M308">
        <v>0.13681699999999999</v>
      </c>
      <c r="N308">
        <v>318</v>
      </c>
      <c r="O308">
        <v>3656</v>
      </c>
      <c r="P308">
        <v>3974</v>
      </c>
    </row>
    <row r="309" spans="1:16" x14ac:dyDescent="0.3">
      <c r="A309">
        <v>308</v>
      </c>
      <c r="B309" s="1">
        <v>40851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>
        <v>0.403333</v>
      </c>
      <c r="K309">
        <v>0.40339199999999997</v>
      </c>
      <c r="L309">
        <v>0.62250000000000005</v>
      </c>
      <c r="M309">
        <v>0.27177899999999999</v>
      </c>
      <c r="N309">
        <v>470</v>
      </c>
      <c r="O309">
        <v>3576</v>
      </c>
      <c r="P309">
        <v>4046</v>
      </c>
    </row>
    <row r="310" spans="1:16" x14ac:dyDescent="0.3">
      <c r="A310">
        <v>309</v>
      </c>
      <c r="B310" s="1">
        <v>40852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>
        <v>0.32666699999999999</v>
      </c>
      <c r="K310">
        <v>0.32385399999999998</v>
      </c>
      <c r="L310">
        <v>0.51916700000000005</v>
      </c>
      <c r="M310">
        <v>0.18906200000000001</v>
      </c>
      <c r="N310">
        <v>1156</v>
      </c>
      <c r="O310">
        <v>2770</v>
      </c>
      <c r="P310">
        <v>3926</v>
      </c>
    </row>
    <row r="311" spans="1:16" x14ac:dyDescent="0.3">
      <c r="A311">
        <v>310</v>
      </c>
      <c r="B311" s="1">
        <v>40853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>
        <v>0.348333</v>
      </c>
      <c r="K311">
        <v>0.36235800000000001</v>
      </c>
      <c r="L311">
        <v>0.73458299999999999</v>
      </c>
      <c r="M311">
        <v>9.2054200000000003E-2</v>
      </c>
      <c r="N311">
        <v>952</v>
      </c>
      <c r="O311">
        <v>2697</v>
      </c>
      <c r="P311">
        <v>3649</v>
      </c>
    </row>
    <row r="312" spans="1:16" x14ac:dyDescent="0.3">
      <c r="A312">
        <v>311</v>
      </c>
      <c r="B312" s="1">
        <v>40854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>
        <v>0.39500000000000002</v>
      </c>
      <c r="K312">
        <v>0.40087099999999998</v>
      </c>
      <c r="L312">
        <v>0.75875000000000004</v>
      </c>
      <c r="M312">
        <v>5.7224999999999998E-2</v>
      </c>
      <c r="N312">
        <v>373</v>
      </c>
      <c r="O312">
        <v>3662</v>
      </c>
      <c r="P312">
        <v>4035</v>
      </c>
    </row>
    <row r="313" spans="1:16" x14ac:dyDescent="0.3">
      <c r="A313">
        <v>312</v>
      </c>
      <c r="B313" s="1">
        <v>40855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>
        <v>0.408333</v>
      </c>
      <c r="K313">
        <v>0.412246</v>
      </c>
      <c r="L313">
        <v>0.72166699999999995</v>
      </c>
      <c r="M313">
        <v>6.9037500000000002E-2</v>
      </c>
      <c r="N313">
        <v>376</v>
      </c>
      <c r="O313">
        <v>3829</v>
      </c>
      <c r="P313">
        <v>4205</v>
      </c>
    </row>
    <row r="314" spans="1:16" x14ac:dyDescent="0.3">
      <c r="A314">
        <v>313</v>
      </c>
      <c r="B314" s="1">
        <v>40856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>
        <v>0.4</v>
      </c>
      <c r="K314">
        <v>0.40907900000000003</v>
      </c>
      <c r="L314">
        <v>0.75833300000000003</v>
      </c>
      <c r="M314">
        <v>6.2195800000000002E-2</v>
      </c>
      <c r="N314">
        <v>305</v>
      </c>
      <c r="O314">
        <v>3804</v>
      </c>
      <c r="P314">
        <v>4109</v>
      </c>
    </row>
    <row r="315" spans="1:16" x14ac:dyDescent="0.3">
      <c r="A315">
        <v>314</v>
      </c>
      <c r="B315" s="1">
        <v>40857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>
        <v>0.38</v>
      </c>
      <c r="K315">
        <v>0.37372100000000003</v>
      </c>
      <c r="L315">
        <v>0.81333299999999997</v>
      </c>
      <c r="M315">
        <v>0.18906700000000001</v>
      </c>
      <c r="N315">
        <v>190</v>
      </c>
      <c r="O315">
        <v>2743</v>
      </c>
      <c r="P315">
        <v>2933</v>
      </c>
    </row>
    <row r="316" spans="1:16" x14ac:dyDescent="0.3">
      <c r="A316">
        <v>315</v>
      </c>
      <c r="B316" s="1">
        <v>40858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>
        <v>0.32416699999999998</v>
      </c>
      <c r="K316">
        <v>0.30681700000000001</v>
      </c>
      <c r="L316">
        <v>0.44624999999999998</v>
      </c>
      <c r="M316">
        <v>0.31467499999999998</v>
      </c>
      <c r="N316">
        <v>440</v>
      </c>
      <c r="O316">
        <v>2928</v>
      </c>
      <c r="P316">
        <v>3368</v>
      </c>
    </row>
    <row r="317" spans="1:16" x14ac:dyDescent="0.3">
      <c r="A317">
        <v>316</v>
      </c>
      <c r="B317" s="1">
        <v>40859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>
        <v>0.35666700000000001</v>
      </c>
      <c r="K317">
        <v>0.35794199999999998</v>
      </c>
      <c r="L317">
        <v>0.55291699999999999</v>
      </c>
      <c r="M317">
        <v>0.212062</v>
      </c>
      <c r="N317">
        <v>1275</v>
      </c>
      <c r="O317">
        <v>2792</v>
      </c>
      <c r="P317">
        <v>4067</v>
      </c>
    </row>
    <row r="318" spans="1:16" x14ac:dyDescent="0.3">
      <c r="A318">
        <v>317</v>
      </c>
      <c r="B318" s="1">
        <v>40860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>
        <v>0.44083299999999997</v>
      </c>
      <c r="K318">
        <v>0.43054999999999999</v>
      </c>
      <c r="L318">
        <v>0.45833299999999999</v>
      </c>
      <c r="M318">
        <v>0.281721</v>
      </c>
      <c r="N318">
        <v>1004</v>
      </c>
      <c r="O318">
        <v>2713</v>
      </c>
      <c r="P318">
        <v>3717</v>
      </c>
    </row>
    <row r="319" spans="1:16" x14ac:dyDescent="0.3">
      <c r="A319">
        <v>318</v>
      </c>
      <c r="B319" s="1">
        <v>40861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>
        <v>0.53</v>
      </c>
      <c r="K319">
        <v>0.52461199999999997</v>
      </c>
      <c r="L319">
        <v>0.58708300000000002</v>
      </c>
      <c r="M319">
        <v>0.30659599999999998</v>
      </c>
      <c r="N319">
        <v>595</v>
      </c>
      <c r="O319">
        <v>3891</v>
      </c>
      <c r="P319">
        <v>4486</v>
      </c>
    </row>
    <row r="320" spans="1:16" x14ac:dyDescent="0.3">
      <c r="A320">
        <v>319</v>
      </c>
      <c r="B320" s="1">
        <v>40862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>
        <v>0.53</v>
      </c>
      <c r="K320">
        <v>0.507579</v>
      </c>
      <c r="L320">
        <v>0.68874999999999997</v>
      </c>
      <c r="M320">
        <v>0.199633</v>
      </c>
      <c r="N320">
        <v>449</v>
      </c>
      <c r="O320">
        <v>3746</v>
      </c>
      <c r="P320">
        <v>4195</v>
      </c>
    </row>
    <row r="321" spans="1:16" x14ac:dyDescent="0.3">
      <c r="A321">
        <v>320</v>
      </c>
      <c r="B321" s="1">
        <v>40863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>
        <v>0.45666699999999999</v>
      </c>
      <c r="K321">
        <v>0.451988</v>
      </c>
      <c r="L321">
        <v>0.93</v>
      </c>
      <c r="M321">
        <v>0.13682900000000001</v>
      </c>
      <c r="N321">
        <v>145</v>
      </c>
      <c r="O321">
        <v>1672</v>
      </c>
      <c r="P321">
        <v>1817</v>
      </c>
    </row>
    <row r="322" spans="1:16" x14ac:dyDescent="0.3">
      <c r="A322">
        <v>321</v>
      </c>
      <c r="B322" s="1">
        <v>40864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>
        <v>0.341667</v>
      </c>
      <c r="K322">
        <v>0.32322099999999998</v>
      </c>
      <c r="L322">
        <v>0.57583300000000004</v>
      </c>
      <c r="M322">
        <v>0.30536200000000002</v>
      </c>
      <c r="N322">
        <v>139</v>
      </c>
      <c r="O322">
        <v>2914</v>
      </c>
      <c r="P322">
        <v>3053</v>
      </c>
    </row>
    <row r="323" spans="1:16" x14ac:dyDescent="0.3">
      <c r="A323">
        <v>322</v>
      </c>
      <c r="B323" s="1">
        <v>40865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>
        <v>0.27416699999999999</v>
      </c>
      <c r="K323">
        <v>0.27272099999999999</v>
      </c>
      <c r="L323">
        <v>0.41</v>
      </c>
      <c r="M323">
        <v>0.16853299999999999</v>
      </c>
      <c r="N323">
        <v>245</v>
      </c>
      <c r="O323">
        <v>3147</v>
      </c>
      <c r="P323">
        <v>3392</v>
      </c>
    </row>
    <row r="324" spans="1:16" x14ac:dyDescent="0.3">
      <c r="A324">
        <v>323</v>
      </c>
      <c r="B324" s="1">
        <v>40866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>
        <v>0.32916699999999999</v>
      </c>
      <c r="K324">
        <v>0.32448300000000002</v>
      </c>
      <c r="L324">
        <v>0.50208299999999995</v>
      </c>
      <c r="M324">
        <v>0.224496</v>
      </c>
      <c r="N324">
        <v>943</v>
      </c>
      <c r="O324">
        <v>2720</v>
      </c>
      <c r="P324">
        <v>3663</v>
      </c>
    </row>
    <row r="325" spans="1:16" x14ac:dyDescent="0.3">
      <c r="A325">
        <v>324</v>
      </c>
      <c r="B325" s="1">
        <v>40867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>
        <v>0.46333299999999999</v>
      </c>
      <c r="K325">
        <v>0.45705800000000002</v>
      </c>
      <c r="L325">
        <v>0.68458300000000005</v>
      </c>
      <c r="M325">
        <v>0.18595</v>
      </c>
      <c r="N325">
        <v>787</v>
      </c>
      <c r="O325">
        <v>2733</v>
      </c>
      <c r="P325">
        <v>3520</v>
      </c>
    </row>
    <row r="326" spans="1:16" x14ac:dyDescent="0.3">
      <c r="A326">
        <v>325</v>
      </c>
      <c r="B326" s="1">
        <v>40868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>
        <v>0.44750000000000001</v>
      </c>
      <c r="K326">
        <v>0.44506200000000001</v>
      </c>
      <c r="L326">
        <v>0.91</v>
      </c>
      <c r="M326">
        <v>0.13805400000000001</v>
      </c>
      <c r="N326">
        <v>220</v>
      </c>
      <c r="O326">
        <v>2545</v>
      </c>
      <c r="P326">
        <v>2765</v>
      </c>
    </row>
    <row r="327" spans="1:16" x14ac:dyDescent="0.3">
      <c r="A327">
        <v>326</v>
      </c>
      <c r="B327" s="1">
        <v>40869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>
        <v>0.41666700000000001</v>
      </c>
      <c r="K327">
        <v>0.42169600000000002</v>
      </c>
      <c r="L327">
        <v>0.96250000000000002</v>
      </c>
      <c r="M327">
        <v>0.11879199999999999</v>
      </c>
      <c r="N327">
        <v>69</v>
      </c>
      <c r="O327">
        <v>1538</v>
      </c>
      <c r="P327">
        <v>1607</v>
      </c>
    </row>
    <row r="328" spans="1:16" x14ac:dyDescent="0.3">
      <c r="A328">
        <v>327</v>
      </c>
      <c r="B328" s="1">
        <v>40870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>
        <v>0.44083299999999997</v>
      </c>
      <c r="K328">
        <v>0.430537</v>
      </c>
      <c r="L328">
        <v>0.75791699999999995</v>
      </c>
      <c r="M328">
        <v>0.33582499999999998</v>
      </c>
      <c r="N328">
        <v>112</v>
      </c>
      <c r="O328">
        <v>2454</v>
      </c>
      <c r="P328">
        <v>2566</v>
      </c>
    </row>
    <row r="329" spans="1:16" x14ac:dyDescent="0.3">
      <c r="A329">
        <v>328</v>
      </c>
      <c r="B329" s="1">
        <v>40871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>
        <v>0.37333300000000003</v>
      </c>
      <c r="K329">
        <v>0.372471</v>
      </c>
      <c r="L329">
        <v>0.54916699999999996</v>
      </c>
      <c r="M329">
        <v>0.16730400000000001</v>
      </c>
      <c r="N329">
        <v>560</v>
      </c>
      <c r="O329">
        <v>935</v>
      </c>
      <c r="P329">
        <v>1495</v>
      </c>
    </row>
    <row r="330" spans="1:16" x14ac:dyDescent="0.3">
      <c r="A330">
        <v>329</v>
      </c>
      <c r="B330" s="1">
        <v>40872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>
        <v>0.375</v>
      </c>
      <c r="K330">
        <v>0.38067099999999998</v>
      </c>
      <c r="L330">
        <v>0.64375000000000004</v>
      </c>
      <c r="M330">
        <v>9.8895800000000006E-2</v>
      </c>
      <c r="N330">
        <v>1095</v>
      </c>
      <c r="O330">
        <v>1697</v>
      </c>
      <c r="P330">
        <v>2792</v>
      </c>
    </row>
    <row r="331" spans="1:16" x14ac:dyDescent="0.3">
      <c r="A331">
        <v>330</v>
      </c>
      <c r="B331" s="1">
        <v>40873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>
        <v>0.37583299999999997</v>
      </c>
      <c r="K331">
        <v>0.38508700000000001</v>
      </c>
      <c r="L331">
        <v>0.68166700000000002</v>
      </c>
      <c r="M331">
        <v>6.8420800000000004E-2</v>
      </c>
      <c r="N331">
        <v>1249</v>
      </c>
      <c r="O331">
        <v>1819</v>
      </c>
      <c r="P331">
        <v>3068</v>
      </c>
    </row>
    <row r="332" spans="1:16" x14ac:dyDescent="0.3">
      <c r="A332">
        <v>331</v>
      </c>
      <c r="B332" s="1">
        <v>40874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>
        <v>0.45916699999999999</v>
      </c>
      <c r="K332">
        <v>0.45579999999999998</v>
      </c>
      <c r="L332">
        <v>0.69833299999999998</v>
      </c>
      <c r="M332">
        <v>0.208954</v>
      </c>
      <c r="N332">
        <v>810</v>
      </c>
      <c r="O332">
        <v>2261</v>
      </c>
      <c r="P332">
        <v>3071</v>
      </c>
    </row>
    <row r="333" spans="1:16" x14ac:dyDescent="0.3">
      <c r="A333">
        <v>332</v>
      </c>
      <c r="B333" s="1">
        <v>40875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>
        <v>0.50347799999999998</v>
      </c>
      <c r="K333">
        <v>0.490122</v>
      </c>
      <c r="L333">
        <v>0.74304300000000001</v>
      </c>
      <c r="M333">
        <v>0.142122</v>
      </c>
      <c r="N333">
        <v>253</v>
      </c>
      <c r="O333">
        <v>3614</v>
      </c>
      <c r="P333">
        <v>3867</v>
      </c>
    </row>
    <row r="334" spans="1:16" x14ac:dyDescent="0.3">
      <c r="A334">
        <v>333</v>
      </c>
      <c r="B334" s="1">
        <v>40876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>
        <v>0.45833299999999999</v>
      </c>
      <c r="K334">
        <v>0.45137500000000003</v>
      </c>
      <c r="L334">
        <v>0.83083300000000004</v>
      </c>
      <c r="M334">
        <v>0.25809199999999999</v>
      </c>
      <c r="N334">
        <v>96</v>
      </c>
      <c r="O334">
        <v>2818</v>
      </c>
      <c r="P334">
        <v>2914</v>
      </c>
    </row>
    <row r="335" spans="1:16" x14ac:dyDescent="0.3">
      <c r="A335">
        <v>334</v>
      </c>
      <c r="B335" s="1">
        <v>40877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>
        <v>0.32500000000000001</v>
      </c>
      <c r="K335">
        <v>0.31122100000000003</v>
      </c>
      <c r="L335">
        <v>0.61333300000000002</v>
      </c>
      <c r="M335">
        <v>0.27115800000000001</v>
      </c>
      <c r="N335">
        <v>188</v>
      </c>
      <c r="O335">
        <v>3425</v>
      </c>
      <c r="P335">
        <v>3613</v>
      </c>
    </row>
    <row r="336" spans="1:16" x14ac:dyDescent="0.3">
      <c r="A336">
        <v>335</v>
      </c>
      <c r="B336" s="1">
        <v>40878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>
        <v>0.3125</v>
      </c>
      <c r="K336">
        <v>0.30555399999999999</v>
      </c>
      <c r="L336">
        <v>0.52458300000000002</v>
      </c>
      <c r="M336">
        <v>0.22015799999999999</v>
      </c>
      <c r="N336">
        <v>182</v>
      </c>
      <c r="O336">
        <v>3545</v>
      </c>
      <c r="P336">
        <v>3727</v>
      </c>
    </row>
    <row r="337" spans="1:16" x14ac:dyDescent="0.3">
      <c r="A337">
        <v>336</v>
      </c>
      <c r="B337" s="1">
        <v>40879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>
        <v>0.31416699999999997</v>
      </c>
      <c r="K337">
        <v>0.33143299999999998</v>
      </c>
      <c r="L337">
        <v>0.62583299999999997</v>
      </c>
      <c r="M337">
        <v>0.100754</v>
      </c>
      <c r="N337">
        <v>268</v>
      </c>
      <c r="O337">
        <v>3672</v>
      </c>
      <c r="P337">
        <v>3940</v>
      </c>
    </row>
    <row r="338" spans="1:16" x14ac:dyDescent="0.3">
      <c r="A338">
        <v>337</v>
      </c>
      <c r="B338" s="1">
        <v>40880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>
        <v>0.29916700000000002</v>
      </c>
      <c r="K338">
        <v>0.31060399999999999</v>
      </c>
      <c r="L338">
        <v>0.61291700000000005</v>
      </c>
      <c r="M338">
        <v>9.5783300000000002E-2</v>
      </c>
      <c r="N338">
        <v>706</v>
      </c>
      <c r="O338">
        <v>2908</v>
      </c>
      <c r="P338">
        <v>3614</v>
      </c>
    </row>
    <row r="339" spans="1:16" x14ac:dyDescent="0.3">
      <c r="A339">
        <v>338</v>
      </c>
      <c r="B339" s="1">
        <v>40881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>
        <v>0.33083299999999999</v>
      </c>
      <c r="K339">
        <v>0.34910000000000002</v>
      </c>
      <c r="L339">
        <v>0.77583299999999999</v>
      </c>
      <c r="M339">
        <v>8.39583E-2</v>
      </c>
      <c r="N339">
        <v>634</v>
      </c>
      <c r="O339">
        <v>2851</v>
      </c>
      <c r="P339">
        <v>3485</v>
      </c>
    </row>
    <row r="340" spans="1:16" x14ac:dyDescent="0.3">
      <c r="A340">
        <v>339</v>
      </c>
      <c r="B340" s="1">
        <v>40882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>
        <v>0.38583299999999998</v>
      </c>
      <c r="K340">
        <v>0.39392500000000003</v>
      </c>
      <c r="L340">
        <v>0.82708300000000001</v>
      </c>
      <c r="M340">
        <v>6.2208300000000001E-2</v>
      </c>
      <c r="N340">
        <v>233</v>
      </c>
      <c r="O340">
        <v>3578</v>
      </c>
      <c r="P340">
        <v>3811</v>
      </c>
    </row>
    <row r="341" spans="1:16" x14ac:dyDescent="0.3">
      <c r="A341">
        <v>340</v>
      </c>
      <c r="B341" s="1">
        <v>40883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>
        <v>0.46250000000000002</v>
      </c>
      <c r="K341">
        <v>0.45639999999999997</v>
      </c>
      <c r="L341">
        <v>0.94958299999999995</v>
      </c>
      <c r="M341">
        <v>0.23258300000000001</v>
      </c>
      <c r="N341">
        <v>126</v>
      </c>
      <c r="O341">
        <v>2468</v>
      </c>
      <c r="P341">
        <v>2594</v>
      </c>
    </row>
    <row r="342" spans="1:16" x14ac:dyDescent="0.3">
      <c r="A342">
        <v>341</v>
      </c>
      <c r="B342" s="1">
        <v>40884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>
        <v>0.41</v>
      </c>
      <c r="K342">
        <v>0.40024599999999999</v>
      </c>
      <c r="L342">
        <v>0.97041699999999997</v>
      </c>
      <c r="M342">
        <v>0.26617499999999999</v>
      </c>
      <c r="N342">
        <v>50</v>
      </c>
      <c r="O342">
        <v>655</v>
      </c>
      <c r="P342">
        <v>705</v>
      </c>
    </row>
    <row r="343" spans="1:16" x14ac:dyDescent="0.3">
      <c r="A343">
        <v>342</v>
      </c>
      <c r="B343" s="1">
        <v>40885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>
        <v>0.26583299999999999</v>
      </c>
      <c r="K343">
        <v>0.256938</v>
      </c>
      <c r="L343">
        <v>0.57999999999999996</v>
      </c>
      <c r="M343">
        <v>0.24005799999999999</v>
      </c>
      <c r="N343">
        <v>150</v>
      </c>
      <c r="O343">
        <v>3172</v>
      </c>
      <c r="P343">
        <v>3322</v>
      </c>
    </row>
    <row r="344" spans="1:16" x14ac:dyDescent="0.3">
      <c r="A344">
        <v>343</v>
      </c>
      <c r="B344" s="1">
        <v>40886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>
        <v>0.29083300000000001</v>
      </c>
      <c r="K344">
        <v>0.31754199999999999</v>
      </c>
      <c r="L344">
        <v>0.69583300000000003</v>
      </c>
      <c r="M344">
        <v>8.2716700000000004E-2</v>
      </c>
      <c r="N344">
        <v>261</v>
      </c>
      <c r="O344">
        <v>3359</v>
      </c>
      <c r="P344">
        <v>3620</v>
      </c>
    </row>
    <row r="345" spans="1:16" x14ac:dyDescent="0.3">
      <c r="A345">
        <v>344</v>
      </c>
      <c r="B345" s="1">
        <v>40887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>
        <v>0.27500000000000002</v>
      </c>
      <c r="K345">
        <v>0.26641199999999998</v>
      </c>
      <c r="L345">
        <v>0.50749999999999995</v>
      </c>
      <c r="M345">
        <v>0.23322100000000001</v>
      </c>
      <c r="N345">
        <v>502</v>
      </c>
      <c r="O345">
        <v>2688</v>
      </c>
      <c r="P345">
        <v>3190</v>
      </c>
    </row>
    <row r="346" spans="1:16" x14ac:dyDescent="0.3">
      <c r="A346">
        <v>345</v>
      </c>
      <c r="B346" s="1">
        <v>40888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>
        <v>0.220833</v>
      </c>
      <c r="K346">
        <v>0.25315399999999999</v>
      </c>
      <c r="L346">
        <v>0.49</v>
      </c>
      <c r="M346">
        <v>6.6541699999999995E-2</v>
      </c>
      <c r="N346">
        <v>377</v>
      </c>
      <c r="O346">
        <v>2366</v>
      </c>
      <c r="P346">
        <v>2743</v>
      </c>
    </row>
    <row r="347" spans="1:16" x14ac:dyDescent="0.3">
      <c r="A347">
        <v>346</v>
      </c>
      <c r="B347" s="1">
        <v>40889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>
        <v>0.23833299999999999</v>
      </c>
      <c r="K347">
        <v>0.27019599999999999</v>
      </c>
      <c r="L347">
        <v>0.67083300000000001</v>
      </c>
      <c r="M347">
        <v>6.3450000000000006E-2</v>
      </c>
      <c r="N347">
        <v>143</v>
      </c>
      <c r="O347">
        <v>3167</v>
      </c>
      <c r="P347">
        <v>3310</v>
      </c>
    </row>
    <row r="348" spans="1:16" x14ac:dyDescent="0.3">
      <c r="A348">
        <v>347</v>
      </c>
      <c r="B348" s="1">
        <v>40890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>
        <v>0.28249999999999997</v>
      </c>
      <c r="K348">
        <v>0.30113800000000002</v>
      </c>
      <c r="L348">
        <v>0.59</v>
      </c>
      <c r="M348">
        <v>0.14055000000000001</v>
      </c>
      <c r="N348">
        <v>155</v>
      </c>
      <c r="O348">
        <v>3368</v>
      </c>
      <c r="P348">
        <v>3523</v>
      </c>
    </row>
    <row r="349" spans="1:16" x14ac:dyDescent="0.3">
      <c r="A349">
        <v>348</v>
      </c>
      <c r="B349" s="1">
        <v>40891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>
        <v>0.3175</v>
      </c>
      <c r="K349">
        <v>0.338362</v>
      </c>
      <c r="L349">
        <v>0.66374999999999995</v>
      </c>
      <c r="M349">
        <v>6.09583E-2</v>
      </c>
      <c r="N349">
        <v>178</v>
      </c>
      <c r="O349">
        <v>3562</v>
      </c>
      <c r="P349">
        <v>3740</v>
      </c>
    </row>
    <row r="350" spans="1:16" x14ac:dyDescent="0.3">
      <c r="A350">
        <v>349</v>
      </c>
      <c r="B350" s="1">
        <v>40892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>
        <v>0.42249999999999999</v>
      </c>
      <c r="K350">
        <v>0.41223700000000002</v>
      </c>
      <c r="L350">
        <v>0.63416700000000004</v>
      </c>
      <c r="M350">
        <v>0.268042</v>
      </c>
      <c r="N350">
        <v>181</v>
      </c>
      <c r="O350">
        <v>3528</v>
      </c>
      <c r="P350">
        <v>3709</v>
      </c>
    </row>
    <row r="351" spans="1:16" x14ac:dyDescent="0.3">
      <c r="A351">
        <v>350</v>
      </c>
      <c r="B351" s="1">
        <v>40893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>
        <v>0.375</v>
      </c>
      <c r="K351">
        <v>0.35982500000000001</v>
      </c>
      <c r="L351">
        <v>0.500417</v>
      </c>
      <c r="M351">
        <v>0.260575</v>
      </c>
      <c r="N351">
        <v>178</v>
      </c>
      <c r="O351">
        <v>3399</v>
      </c>
      <c r="P351">
        <v>3577</v>
      </c>
    </row>
    <row r="352" spans="1:16" x14ac:dyDescent="0.3">
      <c r="A352">
        <v>351</v>
      </c>
      <c r="B352" s="1">
        <v>40894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>
        <v>0.25833299999999998</v>
      </c>
      <c r="K352">
        <v>0.24937100000000001</v>
      </c>
      <c r="L352">
        <v>0.56083300000000003</v>
      </c>
      <c r="M352">
        <v>0.24316699999999999</v>
      </c>
      <c r="N352">
        <v>275</v>
      </c>
      <c r="O352">
        <v>2464</v>
      </c>
      <c r="P352">
        <v>2739</v>
      </c>
    </row>
    <row r="353" spans="1:16" x14ac:dyDescent="0.3">
      <c r="A353">
        <v>352</v>
      </c>
      <c r="B353" s="1">
        <v>40895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>
        <v>0.23833299999999999</v>
      </c>
      <c r="K353">
        <v>0.24557899999999999</v>
      </c>
      <c r="L353">
        <v>0.58625000000000005</v>
      </c>
      <c r="M353">
        <v>0.16977900000000001</v>
      </c>
      <c r="N353">
        <v>220</v>
      </c>
      <c r="O353">
        <v>2211</v>
      </c>
      <c r="P353">
        <v>2431</v>
      </c>
    </row>
    <row r="354" spans="1:16" x14ac:dyDescent="0.3">
      <c r="A354">
        <v>353</v>
      </c>
      <c r="B354" s="1">
        <v>40896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>
        <v>0.276667</v>
      </c>
      <c r="K354">
        <v>0.28093299999999999</v>
      </c>
      <c r="L354">
        <v>0.63749999999999996</v>
      </c>
      <c r="M354">
        <v>0.17289599999999999</v>
      </c>
      <c r="N354">
        <v>260</v>
      </c>
      <c r="O354">
        <v>3143</v>
      </c>
      <c r="P354">
        <v>3403</v>
      </c>
    </row>
    <row r="355" spans="1:16" x14ac:dyDescent="0.3">
      <c r="A355">
        <v>354</v>
      </c>
      <c r="B355" s="1">
        <v>40897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>
        <v>0.38583299999999998</v>
      </c>
      <c r="K355">
        <v>0.39645399999999997</v>
      </c>
      <c r="L355">
        <v>0.59541699999999997</v>
      </c>
      <c r="M355">
        <v>6.1570800000000002E-2</v>
      </c>
      <c r="N355">
        <v>216</v>
      </c>
      <c r="O355">
        <v>3534</v>
      </c>
      <c r="P355">
        <v>3750</v>
      </c>
    </row>
    <row r="356" spans="1:16" x14ac:dyDescent="0.3">
      <c r="A356">
        <v>355</v>
      </c>
      <c r="B356" s="1">
        <v>40898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>
        <v>0.42833300000000002</v>
      </c>
      <c r="K356">
        <v>0.42801699999999998</v>
      </c>
      <c r="L356">
        <v>0.85833300000000001</v>
      </c>
      <c r="M356">
        <v>0.22140000000000001</v>
      </c>
      <c r="N356">
        <v>107</v>
      </c>
      <c r="O356">
        <v>2553</v>
      </c>
      <c r="P356">
        <v>2660</v>
      </c>
    </row>
    <row r="357" spans="1:16" x14ac:dyDescent="0.3">
      <c r="A357">
        <v>356</v>
      </c>
      <c r="B357" s="1">
        <v>40899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>
        <v>0.42333300000000001</v>
      </c>
      <c r="K357">
        <v>0.42612100000000003</v>
      </c>
      <c r="L357">
        <v>0.75749999999999995</v>
      </c>
      <c r="M357">
        <v>4.7274999999999998E-2</v>
      </c>
      <c r="N357">
        <v>227</v>
      </c>
      <c r="O357">
        <v>2841</v>
      </c>
      <c r="P357">
        <v>3068</v>
      </c>
    </row>
    <row r="358" spans="1:16" x14ac:dyDescent="0.3">
      <c r="A358">
        <v>357</v>
      </c>
      <c r="B358" s="1">
        <v>40900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>
        <v>0.37333300000000003</v>
      </c>
      <c r="K358">
        <v>0.37751299999999999</v>
      </c>
      <c r="L358">
        <v>0.68625000000000003</v>
      </c>
      <c r="M358">
        <v>0.27424599999999999</v>
      </c>
      <c r="N358">
        <v>163</v>
      </c>
      <c r="O358">
        <v>2046</v>
      </c>
      <c r="P358">
        <v>2209</v>
      </c>
    </row>
    <row r="359" spans="1:16" x14ac:dyDescent="0.3">
      <c r="A359">
        <v>358</v>
      </c>
      <c r="B359" s="1">
        <v>40901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>
        <v>0.30249999999999999</v>
      </c>
      <c r="K359">
        <v>0.29924200000000001</v>
      </c>
      <c r="L359">
        <v>0.54249999999999998</v>
      </c>
      <c r="M359">
        <v>0.190304</v>
      </c>
      <c r="N359">
        <v>155</v>
      </c>
      <c r="O359">
        <v>856</v>
      </c>
      <c r="P359">
        <v>1011</v>
      </c>
    </row>
    <row r="360" spans="1:16" x14ac:dyDescent="0.3">
      <c r="A360">
        <v>359</v>
      </c>
      <c r="B360" s="1">
        <v>40902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>
        <v>0.274783</v>
      </c>
      <c r="K360">
        <v>0.27996100000000002</v>
      </c>
      <c r="L360">
        <v>0.68130400000000002</v>
      </c>
      <c r="M360">
        <v>0.15509100000000001</v>
      </c>
      <c r="N360">
        <v>303</v>
      </c>
      <c r="O360">
        <v>451</v>
      </c>
      <c r="P360">
        <v>754</v>
      </c>
    </row>
    <row r="361" spans="1:16" x14ac:dyDescent="0.3">
      <c r="A361">
        <v>360</v>
      </c>
      <c r="B361" s="1">
        <v>40903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>
        <v>0.321739</v>
      </c>
      <c r="K361">
        <v>0.31553500000000001</v>
      </c>
      <c r="L361">
        <v>0.50695699999999999</v>
      </c>
      <c r="M361">
        <v>0.23946500000000001</v>
      </c>
      <c r="N361">
        <v>430</v>
      </c>
      <c r="O361">
        <v>887</v>
      </c>
      <c r="P361">
        <v>1317</v>
      </c>
    </row>
    <row r="362" spans="1:16" x14ac:dyDescent="0.3">
      <c r="A362">
        <v>361</v>
      </c>
      <c r="B362" s="1">
        <v>40904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>
        <v>0.32500000000000001</v>
      </c>
      <c r="K362">
        <v>0.32763300000000001</v>
      </c>
      <c r="L362">
        <v>0.76249999999999996</v>
      </c>
      <c r="M362">
        <v>0.18845000000000001</v>
      </c>
      <c r="N362">
        <v>103</v>
      </c>
      <c r="O362">
        <v>1059</v>
      </c>
      <c r="P362">
        <v>1162</v>
      </c>
    </row>
    <row r="363" spans="1:16" x14ac:dyDescent="0.3">
      <c r="A363">
        <v>362</v>
      </c>
      <c r="B363" s="1">
        <v>40905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>
        <v>0.29913000000000001</v>
      </c>
      <c r="K363">
        <v>0.279974</v>
      </c>
      <c r="L363">
        <v>0.50391300000000006</v>
      </c>
      <c r="M363">
        <v>0.29396099999999997</v>
      </c>
      <c r="N363">
        <v>255</v>
      </c>
      <c r="O363">
        <v>2047</v>
      </c>
      <c r="P363">
        <v>2302</v>
      </c>
    </row>
    <row r="364" spans="1:16" x14ac:dyDescent="0.3">
      <c r="A364">
        <v>363</v>
      </c>
      <c r="B364" s="1">
        <v>40906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>
        <v>0.248333</v>
      </c>
      <c r="K364">
        <v>0.26389200000000002</v>
      </c>
      <c r="L364">
        <v>0.57416699999999998</v>
      </c>
      <c r="M364">
        <v>0.119412</v>
      </c>
      <c r="N364">
        <v>254</v>
      </c>
      <c r="O364">
        <v>2169</v>
      </c>
      <c r="P364">
        <v>2423</v>
      </c>
    </row>
    <row r="365" spans="1:16" x14ac:dyDescent="0.3">
      <c r="A365">
        <v>364</v>
      </c>
      <c r="B365" s="1">
        <v>40907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>
        <v>0.31166700000000003</v>
      </c>
      <c r="K365">
        <v>0.31881199999999998</v>
      </c>
      <c r="L365">
        <v>0.63666699999999998</v>
      </c>
      <c r="M365">
        <v>0.13433700000000001</v>
      </c>
      <c r="N365">
        <v>491</v>
      </c>
      <c r="O365">
        <v>2508</v>
      </c>
      <c r="P365">
        <v>2999</v>
      </c>
    </row>
    <row r="366" spans="1:16" x14ac:dyDescent="0.3">
      <c r="A366">
        <v>365</v>
      </c>
      <c r="B366" s="1">
        <v>40908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>
        <v>0.41</v>
      </c>
      <c r="K366">
        <v>0.41412100000000002</v>
      </c>
      <c r="L366">
        <v>0.61583299999999996</v>
      </c>
      <c r="M366">
        <v>0.22015399999999999</v>
      </c>
      <c r="N366">
        <v>665</v>
      </c>
      <c r="O366">
        <v>1820</v>
      </c>
      <c r="P366">
        <v>2485</v>
      </c>
    </row>
    <row r="367" spans="1:16" x14ac:dyDescent="0.3">
      <c r="A367">
        <v>366</v>
      </c>
      <c r="B367" s="1">
        <v>40909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0.37</v>
      </c>
      <c r="K367">
        <v>0.37562099999999998</v>
      </c>
      <c r="L367">
        <v>0.6925</v>
      </c>
      <c r="M367">
        <v>0.192167</v>
      </c>
      <c r="N367">
        <v>686</v>
      </c>
      <c r="O367">
        <v>1608</v>
      </c>
      <c r="P367">
        <v>2294</v>
      </c>
    </row>
    <row r="368" spans="1:16" x14ac:dyDescent="0.3">
      <c r="A368">
        <v>367</v>
      </c>
      <c r="B368" s="1">
        <v>40910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0.27304299999999998</v>
      </c>
      <c r="K368">
        <v>0.25230399999999997</v>
      </c>
      <c r="L368">
        <v>0.38130399999999998</v>
      </c>
      <c r="M368">
        <v>0.32966499999999999</v>
      </c>
      <c r="N368">
        <v>244</v>
      </c>
      <c r="O368">
        <v>1707</v>
      </c>
      <c r="P368">
        <v>1951</v>
      </c>
    </row>
    <row r="369" spans="1:16" x14ac:dyDescent="0.3">
      <c r="A369">
        <v>368</v>
      </c>
      <c r="B369" s="1">
        <v>40911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>
        <v>0.15</v>
      </c>
      <c r="K369">
        <v>0.126275</v>
      </c>
      <c r="L369">
        <v>0.44124999999999998</v>
      </c>
      <c r="M369">
        <v>0.36567100000000002</v>
      </c>
      <c r="N369">
        <v>89</v>
      </c>
      <c r="O369">
        <v>2147</v>
      </c>
      <c r="P369">
        <v>2236</v>
      </c>
    </row>
    <row r="370" spans="1:16" x14ac:dyDescent="0.3">
      <c r="A370">
        <v>369</v>
      </c>
      <c r="B370" s="1">
        <v>40912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>
        <v>0.1075</v>
      </c>
      <c r="K370">
        <v>0.119337</v>
      </c>
      <c r="L370">
        <v>0.41458299999999998</v>
      </c>
      <c r="M370">
        <v>0.1847</v>
      </c>
      <c r="N370">
        <v>95</v>
      </c>
      <c r="O370">
        <v>2273</v>
      </c>
      <c r="P370">
        <v>2368</v>
      </c>
    </row>
    <row r="371" spans="1:16" x14ac:dyDescent="0.3">
      <c r="A371">
        <v>370</v>
      </c>
      <c r="B371" s="1">
        <v>40913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>
        <v>0.26583299999999999</v>
      </c>
      <c r="K371">
        <v>0.27841199999999999</v>
      </c>
      <c r="L371">
        <v>0.52416700000000005</v>
      </c>
      <c r="M371">
        <v>0.12998699999999999</v>
      </c>
      <c r="N371">
        <v>140</v>
      </c>
      <c r="O371">
        <v>3132</v>
      </c>
      <c r="P371">
        <v>3272</v>
      </c>
    </row>
    <row r="372" spans="1:16" x14ac:dyDescent="0.3">
      <c r="A372">
        <v>371</v>
      </c>
      <c r="B372" s="1">
        <v>40914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>
        <v>0.33416699999999999</v>
      </c>
      <c r="K372">
        <v>0.34026699999999999</v>
      </c>
      <c r="L372">
        <v>0.54208299999999998</v>
      </c>
      <c r="M372">
        <v>0.167908</v>
      </c>
      <c r="N372">
        <v>307</v>
      </c>
      <c r="O372">
        <v>3791</v>
      </c>
      <c r="P372">
        <v>4098</v>
      </c>
    </row>
    <row r="373" spans="1:16" x14ac:dyDescent="0.3">
      <c r="A373">
        <v>372</v>
      </c>
      <c r="B373" s="1">
        <v>40915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>
        <v>0.39333299999999999</v>
      </c>
      <c r="K373">
        <v>0.39077899999999999</v>
      </c>
      <c r="L373">
        <v>0.531667</v>
      </c>
      <c r="M373">
        <v>0.174758</v>
      </c>
      <c r="N373">
        <v>1070</v>
      </c>
      <c r="O373">
        <v>3451</v>
      </c>
      <c r="P373">
        <v>4521</v>
      </c>
    </row>
    <row r="374" spans="1:16" x14ac:dyDescent="0.3">
      <c r="A374">
        <v>373</v>
      </c>
      <c r="B374" s="1">
        <v>40916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0.33750000000000002</v>
      </c>
      <c r="K374">
        <v>0.340258</v>
      </c>
      <c r="L374">
        <v>0.46500000000000002</v>
      </c>
      <c r="M374">
        <v>0.19154199999999999</v>
      </c>
      <c r="N374">
        <v>599</v>
      </c>
      <c r="O374">
        <v>2826</v>
      </c>
      <c r="P374">
        <v>3425</v>
      </c>
    </row>
    <row r="375" spans="1:16" x14ac:dyDescent="0.3">
      <c r="A375">
        <v>374</v>
      </c>
      <c r="B375" s="1">
        <v>40917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>
        <v>0.22416700000000001</v>
      </c>
      <c r="K375">
        <v>0.247479</v>
      </c>
      <c r="L375">
        <v>0.70166700000000004</v>
      </c>
      <c r="M375">
        <v>9.8900000000000002E-2</v>
      </c>
      <c r="N375">
        <v>106</v>
      </c>
      <c r="O375">
        <v>2270</v>
      </c>
      <c r="P375">
        <v>2376</v>
      </c>
    </row>
    <row r="376" spans="1:16" x14ac:dyDescent="0.3">
      <c r="A376">
        <v>375</v>
      </c>
      <c r="B376" s="1">
        <v>40918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>
        <v>0.30869600000000003</v>
      </c>
      <c r="K376">
        <v>0.318826</v>
      </c>
      <c r="L376">
        <v>0.64652200000000004</v>
      </c>
      <c r="M376">
        <v>0.187552</v>
      </c>
      <c r="N376">
        <v>173</v>
      </c>
      <c r="O376">
        <v>3425</v>
      </c>
      <c r="P376">
        <v>3598</v>
      </c>
    </row>
    <row r="377" spans="1:16" x14ac:dyDescent="0.3">
      <c r="A377">
        <v>376</v>
      </c>
      <c r="B377" s="1">
        <v>40919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>
        <v>0.27416699999999999</v>
      </c>
      <c r="K377">
        <v>0.28282099999999999</v>
      </c>
      <c r="L377">
        <v>0.84750000000000003</v>
      </c>
      <c r="M377">
        <v>0.131221</v>
      </c>
      <c r="N377">
        <v>92</v>
      </c>
      <c r="O377">
        <v>2085</v>
      </c>
      <c r="P377">
        <v>2177</v>
      </c>
    </row>
    <row r="378" spans="1:16" x14ac:dyDescent="0.3">
      <c r="A378">
        <v>377</v>
      </c>
      <c r="B378" s="1">
        <v>40920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>
        <v>0.38250000000000001</v>
      </c>
      <c r="K378">
        <v>0.381938</v>
      </c>
      <c r="L378">
        <v>0.80291699999999999</v>
      </c>
      <c r="M378">
        <v>0.18096699999999999</v>
      </c>
      <c r="N378">
        <v>269</v>
      </c>
      <c r="O378">
        <v>3828</v>
      </c>
      <c r="P378">
        <v>4097</v>
      </c>
    </row>
    <row r="379" spans="1:16" x14ac:dyDescent="0.3">
      <c r="A379">
        <v>378</v>
      </c>
      <c r="B379" s="1">
        <v>40921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>
        <v>0.27416699999999999</v>
      </c>
      <c r="K379">
        <v>0.249362</v>
      </c>
      <c r="L379">
        <v>0.50749999999999995</v>
      </c>
      <c r="M379">
        <v>0.378108</v>
      </c>
      <c r="N379">
        <v>174</v>
      </c>
      <c r="O379">
        <v>3040</v>
      </c>
      <c r="P379">
        <v>3214</v>
      </c>
    </row>
    <row r="380" spans="1:16" x14ac:dyDescent="0.3">
      <c r="A380">
        <v>379</v>
      </c>
      <c r="B380" s="1">
        <v>40922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>
        <v>0.18</v>
      </c>
      <c r="K380">
        <v>0.183087</v>
      </c>
      <c r="L380">
        <v>0.45750000000000002</v>
      </c>
      <c r="M380">
        <v>0.18718299999999999</v>
      </c>
      <c r="N380">
        <v>333</v>
      </c>
      <c r="O380">
        <v>2160</v>
      </c>
      <c r="P380">
        <v>2493</v>
      </c>
    </row>
    <row r="381" spans="1:16" x14ac:dyDescent="0.3">
      <c r="A381">
        <v>380</v>
      </c>
      <c r="B381" s="1">
        <v>40923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0.16666700000000001</v>
      </c>
      <c r="K381">
        <v>0.16162499999999999</v>
      </c>
      <c r="L381">
        <v>0.41916700000000001</v>
      </c>
      <c r="M381">
        <v>0.25125799999999998</v>
      </c>
      <c r="N381">
        <v>284</v>
      </c>
      <c r="O381">
        <v>2027</v>
      </c>
      <c r="P381">
        <v>2311</v>
      </c>
    </row>
    <row r="382" spans="1:16" x14ac:dyDescent="0.3">
      <c r="A382">
        <v>381</v>
      </c>
      <c r="B382" s="1">
        <v>40924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0.19</v>
      </c>
      <c r="K382">
        <v>0.190663</v>
      </c>
      <c r="L382">
        <v>0.52249999999999996</v>
      </c>
      <c r="M382">
        <v>0.23135800000000001</v>
      </c>
      <c r="N382">
        <v>217</v>
      </c>
      <c r="O382">
        <v>2081</v>
      </c>
      <c r="P382">
        <v>2298</v>
      </c>
    </row>
    <row r="383" spans="1:16" x14ac:dyDescent="0.3">
      <c r="A383">
        <v>382</v>
      </c>
      <c r="B383" s="1">
        <v>40925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>
        <v>0.37304300000000001</v>
      </c>
      <c r="K383">
        <v>0.36427799999999999</v>
      </c>
      <c r="L383">
        <v>0.71608700000000003</v>
      </c>
      <c r="M383">
        <v>0.34913</v>
      </c>
      <c r="N383">
        <v>127</v>
      </c>
      <c r="O383">
        <v>2808</v>
      </c>
      <c r="P383">
        <v>2935</v>
      </c>
    </row>
    <row r="384" spans="1:16" x14ac:dyDescent="0.3">
      <c r="A384">
        <v>383</v>
      </c>
      <c r="B384" s="1">
        <v>40926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>
        <v>0.30333300000000002</v>
      </c>
      <c r="K384">
        <v>0.275254</v>
      </c>
      <c r="L384">
        <v>0.44333299999999998</v>
      </c>
      <c r="M384">
        <v>0.41542899999999999</v>
      </c>
      <c r="N384">
        <v>109</v>
      </c>
      <c r="O384">
        <v>3267</v>
      </c>
      <c r="P384">
        <v>3376</v>
      </c>
    </row>
    <row r="385" spans="1:16" x14ac:dyDescent="0.3">
      <c r="A385">
        <v>384</v>
      </c>
      <c r="B385" s="1">
        <v>40927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>
        <v>0.19</v>
      </c>
      <c r="K385">
        <v>0.19003800000000001</v>
      </c>
      <c r="L385">
        <v>0.4975</v>
      </c>
      <c r="M385">
        <v>0.22015799999999999</v>
      </c>
      <c r="N385">
        <v>130</v>
      </c>
      <c r="O385">
        <v>3162</v>
      </c>
      <c r="P385">
        <v>3292</v>
      </c>
    </row>
    <row r="386" spans="1:16" x14ac:dyDescent="0.3">
      <c r="A386">
        <v>385</v>
      </c>
      <c r="B386" s="1">
        <v>40928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>
        <v>0.2175</v>
      </c>
      <c r="K386">
        <v>0.22095799999999999</v>
      </c>
      <c r="L386">
        <v>0.45</v>
      </c>
      <c r="M386">
        <v>0.20275000000000001</v>
      </c>
      <c r="N386">
        <v>115</v>
      </c>
      <c r="O386">
        <v>3048</v>
      </c>
      <c r="P386">
        <v>3163</v>
      </c>
    </row>
    <row r="387" spans="1:16" x14ac:dyDescent="0.3">
      <c r="A387">
        <v>386</v>
      </c>
      <c r="B387" s="1">
        <v>40929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>
        <v>0.17333299999999999</v>
      </c>
      <c r="K387">
        <v>0.174875</v>
      </c>
      <c r="L387">
        <v>0.83125000000000004</v>
      </c>
      <c r="M387">
        <v>0.22264200000000001</v>
      </c>
      <c r="N387">
        <v>67</v>
      </c>
      <c r="O387">
        <v>1234</v>
      </c>
      <c r="P387">
        <v>1301</v>
      </c>
    </row>
    <row r="388" spans="1:16" x14ac:dyDescent="0.3">
      <c r="A388">
        <v>387</v>
      </c>
      <c r="B388" s="1">
        <v>40930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>
        <v>0.16250000000000001</v>
      </c>
      <c r="K388">
        <v>0.16225000000000001</v>
      </c>
      <c r="L388">
        <v>0.79625000000000001</v>
      </c>
      <c r="M388">
        <v>0.19963800000000001</v>
      </c>
      <c r="N388">
        <v>196</v>
      </c>
      <c r="O388">
        <v>1781</v>
      </c>
      <c r="P388">
        <v>1977</v>
      </c>
    </row>
    <row r="389" spans="1:16" x14ac:dyDescent="0.3">
      <c r="A389">
        <v>388</v>
      </c>
      <c r="B389" s="1">
        <v>40931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>
        <v>0.218333</v>
      </c>
      <c r="K389">
        <v>0.243058</v>
      </c>
      <c r="L389">
        <v>0.91125</v>
      </c>
      <c r="M389">
        <v>0.110708</v>
      </c>
      <c r="N389">
        <v>145</v>
      </c>
      <c r="O389">
        <v>2287</v>
      </c>
      <c r="P389">
        <v>2432</v>
      </c>
    </row>
    <row r="390" spans="1:16" x14ac:dyDescent="0.3">
      <c r="A390">
        <v>389</v>
      </c>
      <c r="B390" s="1">
        <v>40932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>
        <v>0.34250000000000003</v>
      </c>
      <c r="K390">
        <v>0.34910799999999997</v>
      </c>
      <c r="L390">
        <v>0.83583300000000005</v>
      </c>
      <c r="M390">
        <v>0.123767</v>
      </c>
      <c r="N390">
        <v>439</v>
      </c>
      <c r="O390">
        <v>3900</v>
      </c>
      <c r="P390">
        <v>4339</v>
      </c>
    </row>
    <row r="391" spans="1:16" x14ac:dyDescent="0.3">
      <c r="A391">
        <v>390</v>
      </c>
      <c r="B391" s="1">
        <v>40933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>
        <v>0.29416700000000001</v>
      </c>
      <c r="K391">
        <v>0.294821</v>
      </c>
      <c r="L391">
        <v>0.64375000000000004</v>
      </c>
      <c r="M391">
        <v>0.16107099999999999</v>
      </c>
      <c r="N391">
        <v>467</v>
      </c>
      <c r="O391">
        <v>3803</v>
      </c>
      <c r="P391">
        <v>4270</v>
      </c>
    </row>
    <row r="392" spans="1:16" x14ac:dyDescent="0.3">
      <c r="A392">
        <v>391</v>
      </c>
      <c r="B392" s="1">
        <v>40934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>
        <v>0.341667</v>
      </c>
      <c r="K392">
        <v>0.35604999999999998</v>
      </c>
      <c r="L392">
        <v>0.76958300000000002</v>
      </c>
      <c r="M392">
        <v>7.3395799999999997E-2</v>
      </c>
      <c r="N392">
        <v>244</v>
      </c>
      <c r="O392">
        <v>3831</v>
      </c>
      <c r="P392">
        <v>4075</v>
      </c>
    </row>
    <row r="393" spans="1:16" x14ac:dyDescent="0.3">
      <c r="A393">
        <v>392</v>
      </c>
      <c r="B393" s="1">
        <v>40935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>
        <v>0.42499999999999999</v>
      </c>
      <c r="K393">
        <v>0.415383</v>
      </c>
      <c r="L393">
        <v>0.74124999999999996</v>
      </c>
      <c r="M393">
        <v>0.342667</v>
      </c>
      <c r="N393">
        <v>269</v>
      </c>
      <c r="O393">
        <v>3187</v>
      </c>
      <c r="P393">
        <v>3456</v>
      </c>
    </row>
    <row r="394" spans="1:16" x14ac:dyDescent="0.3">
      <c r="A394">
        <v>393</v>
      </c>
      <c r="B394" s="1">
        <v>40936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>
        <v>0.31583299999999997</v>
      </c>
      <c r="K394">
        <v>0.32637899999999997</v>
      </c>
      <c r="L394">
        <v>0.54333299999999995</v>
      </c>
      <c r="M394">
        <v>0.21082899999999999</v>
      </c>
      <c r="N394">
        <v>775</v>
      </c>
      <c r="O394">
        <v>3248</v>
      </c>
      <c r="P394">
        <v>4023</v>
      </c>
    </row>
    <row r="395" spans="1:16" x14ac:dyDescent="0.3">
      <c r="A395">
        <v>394</v>
      </c>
      <c r="B395" s="1">
        <v>40937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0.28249999999999997</v>
      </c>
      <c r="K395">
        <v>0.27272099999999999</v>
      </c>
      <c r="L395">
        <v>0.31125000000000003</v>
      </c>
      <c r="M395">
        <v>0.24005000000000001</v>
      </c>
      <c r="N395">
        <v>558</v>
      </c>
      <c r="O395">
        <v>2685</v>
      </c>
      <c r="P395">
        <v>3243</v>
      </c>
    </row>
    <row r="396" spans="1:16" x14ac:dyDescent="0.3">
      <c r="A396">
        <v>395</v>
      </c>
      <c r="B396" s="1">
        <v>40938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0.26916699999999999</v>
      </c>
      <c r="K396">
        <v>0.262625</v>
      </c>
      <c r="L396">
        <v>0.40083299999999999</v>
      </c>
      <c r="M396">
        <v>0.21579200000000001</v>
      </c>
      <c r="N396">
        <v>126</v>
      </c>
      <c r="O396">
        <v>3498</v>
      </c>
      <c r="P396">
        <v>3624</v>
      </c>
    </row>
    <row r="397" spans="1:16" x14ac:dyDescent="0.3">
      <c r="A397">
        <v>396</v>
      </c>
      <c r="B397" s="1">
        <v>40939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>
        <v>0.39</v>
      </c>
      <c r="K397">
        <v>0.38131700000000002</v>
      </c>
      <c r="L397">
        <v>0.41666700000000001</v>
      </c>
      <c r="M397">
        <v>0.26181700000000002</v>
      </c>
      <c r="N397">
        <v>324</v>
      </c>
      <c r="O397">
        <v>4185</v>
      </c>
      <c r="P397">
        <v>4509</v>
      </c>
    </row>
    <row r="398" spans="1:16" x14ac:dyDescent="0.3">
      <c r="A398">
        <v>397</v>
      </c>
      <c r="B398" s="1">
        <v>40940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>
        <v>0.469167</v>
      </c>
      <c r="K398">
        <v>0.46653800000000001</v>
      </c>
      <c r="L398">
        <v>0.50791699999999995</v>
      </c>
      <c r="M398">
        <v>0.18906700000000001</v>
      </c>
      <c r="N398">
        <v>304</v>
      </c>
      <c r="O398">
        <v>4275</v>
      </c>
      <c r="P398">
        <v>4579</v>
      </c>
    </row>
    <row r="399" spans="1:16" x14ac:dyDescent="0.3">
      <c r="A399">
        <v>398</v>
      </c>
      <c r="B399" s="1">
        <v>40941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>
        <v>0.39916699999999999</v>
      </c>
      <c r="K399">
        <v>0.39897100000000002</v>
      </c>
      <c r="L399">
        <v>0.67291699999999999</v>
      </c>
      <c r="M399">
        <v>0.18718699999999999</v>
      </c>
      <c r="N399">
        <v>190</v>
      </c>
      <c r="O399">
        <v>3571</v>
      </c>
      <c r="P399">
        <v>3761</v>
      </c>
    </row>
    <row r="400" spans="1:16" x14ac:dyDescent="0.3">
      <c r="A400">
        <v>399</v>
      </c>
      <c r="B400" s="1">
        <v>40942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>
        <v>0.31333299999999997</v>
      </c>
      <c r="K400">
        <v>0.30934600000000001</v>
      </c>
      <c r="L400">
        <v>0.526667</v>
      </c>
      <c r="M400">
        <v>0.17849599999999999</v>
      </c>
      <c r="N400">
        <v>310</v>
      </c>
      <c r="O400">
        <v>3841</v>
      </c>
      <c r="P400">
        <v>4151</v>
      </c>
    </row>
    <row r="401" spans="1:16" x14ac:dyDescent="0.3">
      <c r="A401">
        <v>400</v>
      </c>
      <c r="B401" s="1">
        <v>40943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>
        <v>0.26416699999999999</v>
      </c>
      <c r="K401">
        <v>0.272725</v>
      </c>
      <c r="L401">
        <v>0.77958300000000003</v>
      </c>
      <c r="M401">
        <v>0.121896</v>
      </c>
      <c r="N401">
        <v>384</v>
      </c>
      <c r="O401">
        <v>2448</v>
      </c>
      <c r="P401">
        <v>2832</v>
      </c>
    </row>
    <row r="402" spans="1:16" x14ac:dyDescent="0.3">
      <c r="A402">
        <v>401</v>
      </c>
      <c r="B402" s="1">
        <v>40944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0.26583299999999999</v>
      </c>
      <c r="K402">
        <v>0.26452100000000001</v>
      </c>
      <c r="L402">
        <v>0.687917</v>
      </c>
      <c r="M402">
        <v>0.17599600000000001</v>
      </c>
      <c r="N402">
        <v>318</v>
      </c>
      <c r="O402">
        <v>2629</v>
      </c>
      <c r="P402">
        <v>2947</v>
      </c>
    </row>
    <row r="403" spans="1:16" x14ac:dyDescent="0.3">
      <c r="A403">
        <v>402</v>
      </c>
      <c r="B403" s="1">
        <v>40945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>
        <v>0.282609</v>
      </c>
      <c r="K403">
        <v>0.29642600000000002</v>
      </c>
      <c r="L403">
        <v>0.622174</v>
      </c>
      <c r="M403">
        <v>0.15379999999999999</v>
      </c>
      <c r="N403">
        <v>206</v>
      </c>
      <c r="O403">
        <v>3578</v>
      </c>
      <c r="P403">
        <v>3784</v>
      </c>
    </row>
    <row r="404" spans="1:16" x14ac:dyDescent="0.3">
      <c r="A404">
        <v>403</v>
      </c>
      <c r="B404" s="1">
        <v>40946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>
        <v>0.35416700000000001</v>
      </c>
      <c r="K404">
        <v>0.36110399999999998</v>
      </c>
      <c r="L404">
        <v>0.49625000000000002</v>
      </c>
      <c r="M404">
        <v>0.14737900000000001</v>
      </c>
      <c r="N404">
        <v>199</v>
      </c>
      <c r="O404">
        <v>4176</v>
      </c>
      <c r="P404">
        <v>4375</v>
      </c>
    </row>
    <row r="405" spans="1:16" x14ac:dyDescent="0.3">
      <c r="A405">
        <v>404</v>
      </c>
      <c r="B405" s="1">
        <v>40947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>
        <v>0.25666699999999998</v>
      </c>
      <c r="K405">
        <v>0.26642100000000002</v>
      </c>
      <c r="L405">
        <v>0.72291700000000003</v>
      </c>
      <c r="M405">
        <v>0.13372100000000001</v>
      </c>
      <c r="N405">
        <v>109</v>
      </c>
      <c r="O405">
        <v>2693</v>
      </c>
      <c r="P405">
        <v>2802</v>
      </c>
    </row>
    <row r="406" spans="1:16" x14ac:dyDescent="0.3">
      <c r="A406">
        <v>405</v>
      </c>
      <c r="B406" s="1">
        <v>40948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>
        <v>0.26500000000000001</v>
      </c>
      <c r="K406">
        <v>0.261988</v>
      </c>
      <c r="L406">
        <v>0.562083</v>
      </c>
      <c r="M406">
        <v>0.19403699999999999</v>
      </c>
      <c r="N406">
        <v>163</v>
      </c>
      <c r="O406">
        <v>3667</v>
      </c>
      <c r="P406">
        <v>3830</v>
      </c>
    </row>
    <row r="407" spans="1:16" x14ac:dyDescent="0.3">
      <c r="A407">
        <v>406</v>
      </c>
      <c r="B407" s="1">
        <v>40949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>
        <v>0.280833</v>
      </c>
      <c r="K407">
        <v>0.29355799999999999</v>
      </c>
      <c r="L407">
        <v>0.54</v>
      </c>
      <c r="M407">
        <v>0.11692900000000001</v>
      </c>
      <c r="N407">
        <v>227</v>
      </c>
      <c r="O407">
        <v>3604</v>
      </c>
      <c r="P407">
        <v>3831</v>
      </c>
    </row>
    <row r="408" spans="1:16" x14ac:dyDescent="0.3">
      <c r="A408">
        <v>407</v>
      </c>
      <c r="B408" s="1">
        <v>40950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>
        <v>0.22416700000000001</v>
      </c>
      <c r="K408">
        <v>0.210867</v>
      </c>
      <c r="L408">
        <v>0.73124999999999996</v>
      </c>
      <c r="M408">
        <v>0.289796</v>
      </c>
      <c r="N408">
        <v>192</v>
      </c>
      <c r="O408">
        <v>1977</v>
      </c>
      <c r="P408">
        <v>2169</v>
      </c>
    </row>
    <row r="409" spans="1:16" x14ac:dyDescent="0.3">
      <c r="A409">
        <v>408</v>
      </c>
      <c r="B409" s="1">
        <v>40951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>
        <v>0.1275</v>
      </c>
      <c r="K409">
        <v>0.101658</v>
      </c>
      <c r="L409">
        <v>0.46458300000000002</v>
      </c>
      <c r="M409">
        <v>0.40921200000000002</v>
      </c>
      <c r="N409">
        <v>73</v>
      </c>
      <c r="O409">
        <v>1456</v>
      </c>
      <c r="P409">
        <v>1529</v>
      </c>
    </row>
    <row r="410" spans="1:16" x14ac:dyDescent="0.3">
      <c r="A410">
        <v>409</v>
      </c>
      <c r="B410" s="1">
        <v>40952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>
        <v>0.2225</v>
      </c>
      <c r="K410">
        <v>0.227913</v>
      </c>
      <c r="L410">
        <v>0.41125</v>
      </c>
      <c r="M410">
        <v>0.16728299999999999</v>
      </c>
      <c r="N410">
        <v>94</v>
      </c>
      <c r="O410">
        <v>3328</v>
      </c>
      <c r="P410">
        <v>3422</v>
      </c>
    </row>
    <row r="411" spans="1:16" x14ac:dyDescent="0.3">
      <c r="A411">
        <v>410</v>
      </c>
      <c r="B411" s="1">
        <v>40953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>
        <v>0.31916699999999998</v>
      </c>
      <c r="K411">
        <v>0.33394600000000002</v>
      </c>
      <c r="L411">
        <v>0.50875000000000004</v>
      </c>
      <c r="M411">
        <v>0.141179</v>
      </c>
      <c r="N411">
        <v>135</v>
      </c>
      <c r="O411">
        <v>3787</v>
      </c>
      <c r="P411">
        <v>3922</v>
      </c>
    </row>
    <row r="412" spans="1:16" x14ac:dyDescent="0.3">
      <c r="A412">
        <v>411</v>
      </c>
      <c r="B412" s="1">
        <v>40954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>
        <v>0.348333</v>
      </c>
      <c r="K412">
        <v>0.35162900000000002</v>
      </c>
      <c r="L412">
        <v>0.53125</v>
      </c>
      <c r="M412">
        <v>0.18160000000000001</v>
      </c>
      <c r="N412">
        <v>141</v>
      </c>
      <c r="O412">
        <v>4028</v>
      </c>
      <c r="P412">
        <v>4169</v>
      </c>
    </row>
    <row r="413" spans="1:16" x14ac:dyDescent="0.3">
      <c r="A413">
        <v>412</v>
      </c>
      <c r="B413" s="1">
        <v>40955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>
        <v>0.31666699999999998</v>
      </c>
      <c r="K413">
        <v>0.33016200000000001</v>
      </c>
      <c r="L413">
        <v>0.75291699999999995</v>
      </c>
      <c r="M413">
        <v>9.1425000000000006E-2</v>
      </c>
      <c r="N413">
        <v>74</v>
      </c>
      <c r="O413">
        <v>2931</v>
      </c>
      <c r="P413">
        <v>3005</v>
      </c>
    </row>
    <row r="414" spans="1:16" x14ac:dyDescent="0.3">
      <c r="A414">
        <v>413</v>
      </c>
      <c r="B414" s="1">
        <v>40956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>
        <v>0.343333</v>
      </c>
      <c r="K414">
        <v>0.35162900000000002</v>
      </c>
      <c r="L414">
        <v>0.63458300000000001</v>
      </c>
      <c r="M414">
        <v>0.205846</v>
      </c>
      <c r="N414">
        <v>349</v>
      </c>
      <c r="O414">
        <v>3805</v>
      </c>
      <c r="P414">
        <v>4154</v>
      </c>
    </row>
    <row r="415" spans="1:16" x14ac:dyDescent="0.3">
      <c r="A415">
        <v>414</v>
      </c>
      <c r="B415" s="1">
        <v>40957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>
        <v>0.346667</v>
      </c>
      <c r="K415">
        <v>0.35542499999999999</v>
      </c>
      <c r="L415">
        <v>0.53458300000000003</v>
      </c>
      <c r="M415">
        <v>0.19092899999999999</v>
      </c>
      <c r="N415">
        <v>1435</v>
      </c>
      <c r="O415">
        <v>2883</v>
      </c>
      <c r="P415">
        <v>4318</v>
      </c>
    </row>
    <row r="416" spans="1:16" x14ac:dyDescent="0.3">
      <c r="A416">
        <v>415</v>
      </c>
      <c r="B416" s="1">
        <v>40958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>
        <v>0.28000000000000003</v>
      </c>
      <c r="K416">
        <v>0.26578800000000002</v>
      </c>
      <c r="L416">
        <v>0.51583299999999999</v>
      </c>
      <c r="M416">
        <v>0.253112</v>
      </c>
      <c r="N416">
        <v>618</v>
      </c>
      <c r="O416">
        <v>2071</v>
      </c>
      <c r="P416">
        <v>2689</v>
      </c>
    </row>
    <row r="417" spans="1:16" x14ac:dyDescent="0.3">
      <c r="A417">
        <v>416</v>
      </c>
      <c r="B417" s="1">
        <v>40959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0.28000000000000003</v>
      </c>
      <c r="K417">
        <v>0.273391</v>
      </c>
      <c r="L417">
        <v>0.507826</v>
      </c>
      <c r="M417">
        <v>0.22908300000000001</v>
      </c>
      <c r="N417">
        <v>502</v>
      </c>
      <c r="O417">
        <v>2627</v>
      </c>
      <c r="P417">
        <v>3129</v>
      </c>
    </row>
    <row r="418" spans="1:16" x14ac:dyDescent="0.3">
      <c r="A418">
        <v>417</v>
      </c>
      <c r="B418" s="1">
        <v>40960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>
        <v>0.28782600000000003</v>
      </c>
      <c r="K418">
        <v>0.29511300000000001</v>
      </c>
      <c r="L418">
        <v>0.59434799999999999</v>
      </c>
      <c r="M418">
        <v>0.20571700000000001</v>
      </c>
      <c r="N418">
        <v>163</v>
      </c>
      <c r="O418">
        <v>3614</v>
      </c>
      <c r="P418">
        <v>3777</v>
      </c>
    </row>
    <row r="419" spans="1:16" x14ac:dyDescent="0.3">
      <c r="A419">
        <v>418</v>
      </c>
      <c r="B419" s="1">
        <v>40961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>
        <v>0.39583299999999999</v>
      </c>
      <c r="K419">
        <v>0.39266699999999999</v>
      </c>
      <c r="L419">
        <v>0.56791700000000001</v>
      </c>
      <c r="M419">
        <v>0.23447100000000001</v>
      </c>
      <c r="N419">
        <v>394</v>
      </c>
      <c r="O419">
        <v>4379</v>
      </c>
      <c r="P419">
        <v>4773</v>
      </c>
    </row>
    <row r="420" spans="1:16" x14ac:dyDescent="0.3">
      <c r="A420">
        <v>419</v>
      </c>
      <c r="B420" s="1">
        <v>40962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>
        <v>0.45416699999999999</v>
      </c>
      <c r="K420">
        <v>0.44444600000000001</v>
      </c>
      <c r="L420">
        <v>0.55458300000000005</v>
      </c>
      <c r="M420">
        <v>0.190913</v>
      </c>
      <c r="N420">
        <v>516</v>
      </c>
      <c r="O420">
        <v>4546</v>
      </c>
      <c r="P420">
        <v>5062</v>
      </c>
    </row>
    <row r="421" spans="1:16" x14ac:dyDescent="0.3">
      <c r="A421">
        <v>420</v>
      </c>
      <c r="B421" s="1">
        <v>40963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>
        <v>0.40749999999999997</v>
      </c>
      <c r="K421">
        <v>0.41097099999999998</v>
      </c>
      <c r="L421">
        <v>0.73750000000000004</v>
      </c>
      <c r="M421">
        <v>0.237567</v>
      </c>
      <c r="N421">
        <v>246</v>
      </c>
      <c r="O421">
        <v>3241</v>
      </c>
      <c r="P421">
        <v>3487</v>
      </c>
    </row>
    <row r="422" spans="1:16" x14ac:dyDescent="0.3">
      <c r="A422">
        <v>421</v>
      </c>
      <c r="B422" s="1">
        <v>40964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>
        <v>0.29083300000000001</v>
      </c>
      <c r="K422">
        <v>0.25567499999999999</v>
      </c>
      <c r="L422">
        <v>0.39583299999999999</v>
      </c>
      <c r="M422">
        <v>0.42164200000000002</v>
      </c>
      <c r="N422">
        <v>317</v>
      </c>
      <c r="O422">
        <v>2415</v>
      </c>
      <c r="P422">
        <v>2732</v>
      </c>
    </row>
    <row r="423" spans="1:16" x14ac:dyDescent="0.3">
      <c r="A423">
        <v>422</v>
      </c>
      <c r="B423" s="1">
        <v>40965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>
        <v>0.279167</v>
      </c>
      <c r="K423">
        <v>0.26830799999999999</v>
      </c>
      <c r="L423">
        <v>0.41</v>
      </c>
      <c r="M423">
        <v>0.20522899999999999</v>
      </c>
      <c r="N423">
        <v>515</v>
      </c>
      <c r="O423">
        <v>2874</v>
      </c>
      <c r="P423">
        <v>3389</v>
      </c>
    </row>
    <row r="424" spans="1:16" x14ac:dyDescent="0.3">
      <c r="A424">
        <v>423</v>
      </c>
      <c r="B424" s="1">
        <v>40966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>
        <v>0.36666700000000002</v>
      </c>
      <c r="K424">
        <v>0.35795399999999999</v>
      </c>
      <c r="L424">
        <v>0.49083300000000002</v>
      </c>
      <c r="M424">
        <v>0.26803300000000002</v>
      </c>
      <c r="N424">
        <v>253</v>
      </c>
      <c r="O424">
        <v>4069</v>
      </c>
      <c r="P424">
        <v>4322</v>
      </c>
    </row>
    <row r="425" spans="1:16" x14ac:dyDescent="0.3">
      <c r="A425">
        <v>424</v>
      </c>
      <c r="B425" s="1">
        <v>40967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>
        <v>0.35916700000000001</v>
      </c>
      <c r="K425">
        <v>0.35352499999999998</v>
      </c>
      <c r="L425">
        <v>0.39583299999999999</v>
      </c>
      <c r="M425">
        <v>0.19341700000000001</v>
      </c>
      <c r="N425">
        <v>229</v>
      </c>
      <c r="O425">
        <v>4134</v>
      </c>
      <c r="P425">
        <v>4363</v>
      </c>
    </row>
    <row r="426" spans="1:16" x14ac:dyDescent="0.3">
      <c r="A426">
        <v>425</v>
      </c>
      <c r="B426" s="1">
        <v>40968</v>
      </c>
      <c r="C426">
        <v>1</v>
      </c>
      <c r="D426">
        <v>1</v>
      </c>
      <c r="E426">
        <v>2</v>
      </c>
      <c r="F426">
        <v>0</v>
      </c>
      <c r="G426">
        <v>3</v>
      </c>
      <c r="H426">
        <v>1</v>
      </c>
      <c r="I426">
        <v>2</v>
      </c>
      <c r="J426">
        <v>0.34434799999999999</v>
      </c>
      <c r="K426">
        <v>0.34847</v>
      </c>
      <c r="L426">
        <v>0.80478300000000003</v>
      </c>
      <c r="M426">
        <v>0.179117</v>
      </c>
      <c r="N426">
        <v>65</v>
      </c>
      <c r="O426">
        <v>1769</v>
      </c>
      <c r="P426">
        <v>1834</v>
      </c>
    </row>
    <row r="427" spans="1:16" x14ac:dyDescent="0.3">
      <c r="A427">
        <v>426</v>
      </c>
      <c r="B427" s="1">
        <v>40969</v>
      </c>
      <c r="C427">
        <v>1</v>
      </c>
      <c r="D427">
        <v>1</v>
      </c>
      <c r="E427">
        <v>3</v>
      </c>
      <c r="F427">
        <v>0</v>
      </c>
      <c r="G427">
        <v>4</v>
      </c>
      <c r="H427">
        <v>1</v>
      </c>
      <c r="I427">
        <v>1</v>
      </c>
      <c r="J427">
        <v>0.48583300000000001</v>
      </c>
      <c r="K427">
        <v>0.47537099999999999</v>
      </c>
      <c r="L427">
        <v>0.61541699999999999</v>
      </c>
      <c r="M427">
        <v>0.22698699999999999</v>
      </c>
      <c r="N427">
        <v>325</v>
      </c>
      <c r="O427">
        <v>4665</v>
      </c>
      <c r="P427">
        <v>4990</v>
      </c>
    </row>
    <row r="428" spans="1:16" x14ac:dyDescent="0.3">
      <c r="A428">
        <v>427</v>
      </c>
      <c r="B428" s="1">
        <v>40970</v>
      </c>
      <c r="C428">
        <v>1</v>
      </c>
      <c r="D428">
        <v>1</v>
      </c>
      <c r="E428">
        <v>3</v>
      </c>
      <c r="F428">
        <v>0</v>
      </c>
      <c r="G428">
        <v>5</v>
      </c>
      <c r="H428">
        <v>1</v>
      </c>
      <c r="I428">
        <v>2</v>
      </c>
      <c r="J428">
        <v>0.35333300000000001</v>
      </c>
      <c r="K428">
        <v>0.359842</v>
      </c>
      <c r="L428">
        <v>0.65708299999999997</v>
      </c>
      <c r="M428">
        <v>0.14490400000000001</v>
      </c>
      <c r="N428">
        <v>246</v>
      </c>
      <c r="O428">
        <v>2948</v>
      </c>
      <c r="P428">
        <v>3194</v>
      </c>
    </row>
    <row r="429" spans="1:16" x14ac:dyDescent="0.3">
      <c r="A429">
        <v>428</v>
      </c>
      <c r="B429" s="1">
        <v>40971</v>
      </c>
      <c r="C429">
        <v>1</v>
      </c>
      <c r="D429">
        <v>1</v>
      </c>
      <c r="E429">
        <v>3</v>
      </c>
      <c r="F429">
        <v>0</v>
      </c>
      <c r="G429">
        <v>6</v>
      </c>
      <c r="H429">
        <v>0</v>
      </c>
      <c r="I429">
        <v>2</v>
      </c>
      <c r="J429">
        <v>0.41416700000000001</v>
      </c>
      <c r="K429">
        <v>0.41349200000000003</v>
      </c>
      <c r="L429">
        <v>0.62124999999999997</v>
      </c>
      <c r="M429">
        <v>0.161079</v>
      </c>
      <c r="N429">
        <v>956</v>
      </c>
      <c r="O429">
        <v>3110</v>
      </c>
      <c r="P429">
        <v>4066</v>
      </c>
    </row>
    <row r="430" spans="1:16" x14ac:dyDescent="0.3">
      <c r="A430">
        <v>429</v>
      </c>
      <c r="B430" s="1">
        <v>40972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>
        <v>0.32583299999999998</v>
      </c>
      <c r="K430">
        <v>0.30302099999999998</v>
      </c>
      <c r="L430">
        <v>0.403333</v>
      </c>
      <c r="M430">
        <v>0.33457100000000001</v>
      </c>
      <c r="N430">
        <v>710</v>
      </c>
      <c r="O430">
        <v>2713</v>
      </c>
      <c r="P430">
        <v>3423</v>
      </c>
    </row>
    <row r="431" spans="1:16" x14ac:dyDescent="0.3">
      <c r="A431">
        <v>430</v>
      </c>
      <c r="B431" s="1">
        <v>40973</v>
      </c>
      <c r="C431">
        <v>1</v>
      </c>
      <c r="D431">
        <v>1</v>
      </c>
      <c r="E431">
        <v>3</v>
      </c>
      <c r="F431">
        <v>0</v>
      </c>
      <c r="G431">
        <v>1</v>
      </c>
      <c r="H431">
        <v>1</v>
      </c>
      <c r="I431">
        <v>1</v>
      </c>
      <c r="J431">
        <v>0.24333299999999999</v>
      </c>
      <c r="K431">
        <v>0.241171</v>
      </c>
      <c r="L431">
        <v>0.50624999999999998</v>
      </c>
      <c r="M431">
        <v>0.22885800000000001</v>
      </c>
      <c r="N431">
        <v>203</v>
      </c>
      <c r="O431">
        <v>3130</v>
      </c>
      <c r="P431">
        <v>3333</v>
      </c>
    </row>
    <row r="432" spans="1:16" x14ac:dyDescent="0.3">
      <c r="A432">
        <v>431</v>
      </c>
      <c r="B432" s="1">
        <v>40974</v>
      </c>
      <c r="C432">
        <v>1</v>
      </c>
      <c r="D432">
        <v>1</v>
      </c>
      <c r="E432">
        <v>3</v>
      </c>
      <c r="F432">
        <v>0</v>
      </c>
      <c r="G432">
        <v>2</v>
      </c>
      <c r="H432">
        <v>1</v>
      </c>
      <c r="I432">
        <v>1</v>
      </c>
      <c r="J432">
        <v>0.25833299999999998</v>
      </c>
      <c r="K432">
        <v>0.25504199999999999</v>
      </c>
      <c r="L432">
        <v>0.45666699999999999</v>
      </c>
      <c r="M432">
        <v>0.200875</v>
      </c>
      <c r="N432">
        <v>221</v>
      </c>
      <c r="O432">
        <v>3735</v>
      </c>
      <c r="P432">
        <v>3956</v>
      </c>
    </row>
    <row r="433" spans="1:16" x14ac:dyDescent="0.3">
      <c r="A433">
        <v>432</v>
      </c>
      <c r="B433" s="1">
        <v>40975</v>
      </c>
      <c r="C433">
        <v>1</v>
      </c>
      <c r="D433">
        <v>1</v>
      </c>
      <c r="E433">
        <v>3</v>
      </c>
      <c r="F433">
        <v>0</v>
      </c>
      <c r="G433">
        <v>3</v>
      </c>
      <c r="H433">
        <v>1</v>
      </c>
      <c r="I433">
        <v>1</v>
      </c>
      <c r="J433">
        <v>0.404167</v>
      </c>
      <c r="K433">
        <v>0.3851</v>
      </c>
      <c r="L433">
        <v>0.51333300000000004</v>
      </c>
      <c r="M433">
        <v>0.345779</v>
      </c>
      <c r="N433">
        <v>432</v>
      </c>
      <c r="O433">
        <v>4484</v>
      </c>
      <c r="P433">
        <v>4916</v>
      </c>
    </row>
    <row r="434" spans="1:16" x14ac:dyDescent="0.3">
      <c r="A434">
        <v>433</v>
      </c>
      <c r="B434" s="1">
        <v>40976</v>
      </c>
      <c r="C434">
        <v>1</v>
      </c>
      <c r="D434">
        <v>1</v>
      </c>
      <c r="E434">
        <v>3</v>
      </c>
      <c r="F434">
        <v>0</v>
      </c>
      <c r="G434">
        <v>4</v>
      </c>
      <c r="H434">
        <v>1</v>
      </c>
      <c r="I434">
        <v>1</v>
      </c>
      <c r="J434">
        <v>0.52749999999999997</v>
      </c>
      <c r="K434">
        <v>0.52460399999999996</v>
      </c>
      <c r="L434">
        <v>0.5675</v>
      </c>
      <c r="M434">
        <v>0.44156299999999998</v>
      </c>
      <c r="N434">
        <v>486</v>
      </c>
      <c r="O434">
        <v>4896</v>
      </c>
      <c r="P434">
        <v>5382</v>
      </c>
    </row>
    <row r="435" spans="1:16" x14ac:dyDescent="0.3">
      <c r="A435">
        <v>434</v>
      </c>
      <c r="B435" s="1">
        <v>40977</v>
      </c>
      <c r="C435">
        <v>1</v>
      </c>
      <c r="D435">
        <v>1</v>
      </c>
      <c r="E435">
        <v>3</v>
      </c>
      <c r="F435">
        <v>0</v>
      </c>
      <c r="G435">
        <v>5</v>
      </c>
      <c r="H435">
        <v>1</v>
      </c>
      <c r="I435">
        <v>2</v>
      </c>
      <c r="J435">
        <v>0.410833</v>
      </c>
      <c r="K435">
        <v>0.39708300000000002</v>
      </c>
      <c r="L435">
        <v>0.40708299999999997</v>
      </c>
      <c r="M435">
        <v>0.4148</v>
      </c>
      <c r="N435">
        <v>447</v>
      </c>
      <c r="O435">
        <v>4122</v>
      </c>
      <c r="P435">
        <v>4569</v>
      </c>
    </row>
    <row r="436" spans="1:16" x14ac:dyDescent="0.3">
      <c r="A436">
        <v>435</v>
      </c>
      <c r="B436" s="1">
        <v>40978</v>
      </c>
      <c r="C436">
        <v>1</v>
      </c>
      <c r="D436">
        <v>1</v>
      </c>
      <c r="E436">
        <v>3</v>
      </c>
      <c r="F436">
        <v>0</v>
      </c>
      <c r="G436">
        <v>6</v>
      </c>
      <c r="H436">
        <v>0</v>
      </c>
      <c r="I436">
        <v>1</v>
      </c>
      <c r="J436">
        <v>0.28749999999999998</v>
      </c>
      <c r="K436">
        <v>0.27776699999999999</v>
      </c>
      <c r="L436">
        <v>0.35041699999999998</v>
      </c>
      <c r="M436">
        <v>0.22575000000000001</v>
      </c>
      <c r="N436">
        <v>968</v>
      </c>
      <c r="O436">
        <v>3150</v>
      </c>
      <c r="P436">
        <v>4118</v>
      </c>
    </row>
    <row r="437" spans="1:16" x14ac:dyDescent="0.3">
      <c r="A437">
        <v>436</v>
      </c>
      <c r="B437" s="1">
        <v>40979</v>
      </c>
      <c r="C437">
        <v>1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1</v>
      </c>
      <c r="J437">
        <v>0.36173899999999998</v>
      </c>
      <c r="K437">
        <v>0.35966999999999999</v>
      </c>
      <c r="L437">
        <v>0.47695700000000002</v>
      </c>
      <c r="M437">
        <v>0.22258700000000001</v>
      </c>
      <c r="N437">
        <v>1658</v>
      </c>
      <c r="O437">
        <v>3253</v>
      </c>
      <c r="P437">
        <v>4911</v>
      </c>
    </row>
    <row r="438" spans="1:16" x14ac:dyDescent="0.3">
      <c r="A438">
        <v>437</v>
      </c>
      <c r="B438" s="1">
        <v>40980</v>
      </c>
      <c r="C438">
        <v>1</v>
      </c>
      <c r="D438">
        <v>1</v>
      </c>
      <c r="E438">
        <v>3</v>
      </c>
      <c r="F438">
        <v>0</v>
      </c>
      <c r="G438">
        <v>1</v>
      </c>
      <c r="H438">
        <v>1</v>
      </c>
      <c r="I438">
        <v>1</v>
      </c>
      <c r="J438">
        <v>0.466667</v>
      </c>
      <c r="K438">
        <v>0.459592</v>
      </c>
      <c r="L438">
        <v>0.48916700000000002</v>
      </c>
      <c r="M438">
        <v>0.20771300000000001</v>
      </c>
      <c r="N438">
        <v>838</v>
      </c>
      <c r="O438">
        <v>4460</v>
      </c>
      <c r="P438">
        <v>5298</v>
      </c>
    </row>
    <row r="439" spans="1:16" x14ac:dyDescent="0.3">
      <c r="A439">
        <v>438</v>
      </c>
      <c r="B439" s="1">
        <v>40981</v>
      </c>
      <c r="C439">
        <v>1</v>
      </c>
      <c r="D439">
        <v>1</v>
      </c>
      <c r="E439">
        <v>3</v>
      </c>
      <c r="F439">
        <v>0</v>
      </c>
      <c r="G439">
        <v>2</v>
      </c>
      <c r="H439">
        <v>1</v>
      </c>
      <c r="I439">
        <v>1</v>
      </c>
      <c r="J439">
        <v>0.56499999999999995</v>
      </c>
      <c r="K439">
        <v>0.54292899999999999</v>
      </c>
      <c r="L439">
        <v>0.61750000000000005</v>
      </c>
      <c r="M439">
        <v>0.23694999999999999</v>
      </c>
      <c r="N439">
        <v>762</v>
      </c>
      <c r="O439">
        <v>5085</v>
      </c>
      <c r="P439">
        <v>5847</v>
      </c>
    </row>
    <row r="440" spans="1:16" x14ac:dyDescent="0.3">
      <c r="A440">
        <v>439</v>
      </c>
      <c r="B440" s="1">
        <v>40982</v>
      </c>
      <c r="C440">
        <v>1</v>
      </c>
      <c r="D440">
        <v>1</v>
      </c>
      <c r="E440">
        <v>3</v>
      </c>
      <c r="F440">
        <v>0</v>
      </c>
      <c r="G440">
        <v>3</v>
      </c>
      <c r="H440">
        <v>1</v>
      </c>
      <c r="I440">
        <v>1</v>
      </c>
      <c r="J440">
        <v>0.57250000000000001</v>
      </c>
      <c r="K440">
        <v>0.54861700000000002</v>
      </c>
      <c r="L440">
        <v>0.50708299999999995</v>
      </c>
      <c r="M440">
        <v>0.115062</v>
      </c>
      <c r="N440">
        <v>997</v>
      </c>
      <c r="O440">
        <v>5315</v>
      </c>
      <c r="P440">
        <v>6312</v>
      </c>
    </row>
    <row r="441" spans="1:16" x14ac:dyDescent="0.3">
      <c r="A441">
        <v>440</v>
      </c>
      <c r="B441" s="1">
        <v>40983</v>
      </c>
      <c r="C441">
        <v>1</v>
      </c>
      <c r="D441">
        <v>1</v>
      </c>
      <c r="E441">
        <v>3</v>
      </c>
      <c r="F441">
        <v>0</v>
      </c>
      <c r="G441">
        <v>4</v>
      </c>
      <c r="H441">
        <v>1</v>
      </c>
      <c r="I441">
        <v>1</v>
      </c>
      <c r="J441">
        <v>0.5575</v>
      </c>
      <c r="K441">
        <v>0.53282499999999999</v>
      </c>
      <c r="L441">
        <v>0.57958299999999996</v>
      </c>
      <c r="M441">
        <v>0.14988299999999999</v>
      </c>
      <c r="N441">
        <v>1005</v>
      </c>
      <c r="O441">
        <v>5187</v>
      </c>
      <c r="P441">
        <v>6192</v>
      </c>
    </row>
    <row r="442" spans="1:16" x14ac:dyDescent="0.3">
      <c r="A442">
        <v>441</v>
      </c>
      <c r="B442" s="1">
        <v>40984</v>
      </c>
      <c r="C442">
        <v>1</v>
      </c>
      <c r="D442">
        <v>1</v>
      </c>
      <c r="E442">
        <v>3</v>
      </c>
      <c r="F442">
        <v>0</v>
      </c>
      <c r="G442">
        <v>5</v>
      </c>
      <c r="H442">
        <v>1</v>
      </c>
      <c r="I442">
        <v>2</v>
      </c>
      <c r="J442">
        <v>0.43583300000000003</v>
      </c>
      <c r="K442">
        <v>0.43622899999999998</v>
      </c>
      <c r="L442">
        <v>0.84208300000000003</v>
      </c>
      <c r="M442">
        <v>0.113192</v>
      </c>
      <c r="N442">
        <v>548</v>
      </c>
      <c r="O442">
        <v>3830</v>
      </c>
      <c r="P442">
        <v>4378</v>
      </c>
    </row>
    <row r="443" spans="1:16" x14ac:dyDescent="0.3">
      <c r="A443">
        <v>442</v>
      </c>
      <c r="B443" s="1">
        <v>40985</v>
      </c>
      <c r="C443">
        <v>1</v>
      </c>
      <c r="D443">
        <v>1</v>
      </c>
      <c r="E443">
        <v>3</v>
      </c>
      <c r="F443">
        <v>0</v>
      </c>
      <c r="G443">
        <v>6</v>
      </c>
      <c r="H443">
        <v>0</v>
      </c>
      <c r="I443">
        <v>2</v>
      </c>
      <c r="J443">
        <v>0.51416700000000004</v>
      </c>
      <c r="K443">
        <v>0.50504599999999999</v>
      </c>
      <c r="L443">
        <v>0.75583299999999998</v>
      </c>
      <c r="M443">
        <v>0.110704</v>
      </c>
      <c r="N443">
        <v>3155</v>
      </c>
      <c r="O443">
        <v>4681</v>
      </c>
      <c r="P443">
        <v>7836</v>
      </c>
    </row>
    <row r="444" spans="1:16" x14ac:dyDescent="0.3">
      <c r="A444">
        <v>443</v>
      </c>
      <c r="B444" s="1">
        <v>40986</v>
      </c>
      <c r="C444">
        <v>1</v>
      </c>
      <c r="D444">
        <v>1</v>
      </c>
      <c r="E444">
        <v>3</v>
      </c>
      <c r="F444">
        <v>0</v>
      </c>
      <c r="G444">
        <v>0</v>
      </c>
      <c r="H444">
        <v>0</v>
      </c>
      <c r="I444">
        <v>2</v>
      </c>
      <c r="J444">
        <v>0.47249999999999998</v>
      </c>
      <c r="K444">
        <v>0.46400000000000002</v>
      </c>
      <c r="L444">
        <v>0.81</v>
      </c>
      <c r="M444">
        <v>0.126883</v>
      </c>
      <c r="N444">
        <v>2207</v>
      </c>
      <c r="O444">
        <v>3685</v>
      </c>
      <c r="P444">
        <v>5892</v>
      </c>
    </row>
    <row r="445" spans="1:16" x14ac:dyDescent="0.3">
      <c r="A445">
        <v>444</v>
      </c>
      <c r="B445" s="1">
        <v>40987</v>
      </c>
      <c r="C445">
        <v>1</v>
      </c>
      <c r="D445">
        <v>1</v>
      </c>
      <c r="E445">
        <v>3</v>
      </c>
      <c r="F445">
        <v>0</v>
      </c>
      <c r="G445">
        <v>1</v>
      </c>
      <c r="H445">
        <v>1</v>
      </c>
      <c r="I445">
        <v>1</v>
      </c>
      <c r="J445">
        <v>0.54500000000000004</v>
      </c>
      <c r="K445">
        <v>0.53282099999999999</v>
      </c>
      <c r="L445">
        <v>0.72875000000000001</v>
      </c>
      <c r="M445">
        <v>0.16231699999999999</v>
      </c>
      <c r="N445">
        <v>982</v>
      </c>
      <c r="O445">
        <v>5171</v>
      </c>
      <c r="P445">
        <v>6153</v>
      </c>
    </row>
    <row r="446" spans="1:16" x14ac:dyDescent="0.3">
      <c r="A446">
        <v>445</v>
      </c>
      <c r="B446" s="1">
        <v>40988</v>
      </c>
      <c r="C446">
        <v>1</v>
      </c>
      <c r="D446">
        <v>1</v>
      </c>
      <c r="E446">
        <v>3</v>
      </c>
      <c r="F446">
        <v>0</v>
      </c>
      <c r="G446">
        <v>2</v>
      </c>
      <c r="H446">
        <v>1</v>
      </c>
      <c r="I446">
        <v>1</v>
      </c>
      <c r="J446">
        <v>0.56083300000000003</v>
      </c>
      <c r="K446">
        <v>0.53853300000000004</v>
      </c>
      <c r="L446">
        <v>0.807917</v>
      </c>
      <c r="M446">
        <v>0.121271</v>
      </c>
      <c r="N446">
        <v>1051</v>
      </c>
      <c r="O446">
        <v>5042</v>
      </c>
      <c r="P446">
        <v>6093</v>
      </c>
    </row>
    <row r="447" spans="1:16" x14ac:dyDescent="0.3">
      <c r="A447">
        <v>446</v>
      </c>
      <c r="B447" s="1">
        <v>40989</v>
      </c>
      <c r="C447">
        <v>2</v>
      </c>
      <c r="D447">
        <v>1</v>
      </c>
      <c r="E447">
        <v>3</v>
      </c>
      <c r="F447">
        <v>0</v>
      </c>
      <c r="G447">
        <v>3</v>
      </c>
      <c r="H447">
        <v>1</v>
      </c>
      <c r="I447">
        <v>2</v>
      </c>
      <c r="J447">
        <v>0.531667</v>
      </c>
      <c r="K447">
        <v>0.51325799999999999</v>
      </c>
      <c r="L447">
        <v>0.82125000000000004</v>
      </c>
      <c r="M447">
        <v>8.9558299999999993E-2</v>
      </c>
      <c r="N447">
        <v>1122</v>
      </c>
      <c r="O447">
        <v>5108</v>
      </c>
      <c r="P447">
        <v>6230</v>
      </c>
    </row>
    <row r="448" spans="1:16" x14ac:dyDescent="0.3">
      <c r="A448">
        <v>447</v>
      </c>
      <c r="B448" s="1">
        <v>40990</v>
      </c>
      <c r="C448">
        <v>2</v>
      </c>
      <c r="D448">
        <v>1</v>
      </c>
      <c r="E448">
        <v>3</v>
      </c>
      <c r="F448">
        <v>0</v>
      </c>
      <c r="G448">
        <v>4</v>
      </c>
      <c r="H448">
        <v>1</v>
      </c>
      <c r="I448">
        <v>1</v>
      </c>
      <c r="J448">
        <v>0.55416699999999997</v>
      </c>
      <c r="K448">
        <v>0.53156700000000001</v>
      </c>
      <c r="L448">
        <v>0.83125000000000004</v>
      </c>
      <c r="M448">
        <v>0.117562</v>
      </c>
      <c r="N448">
        <v>1334</v>
      </c>
      <c r="O448">
        <v>5537</v>
      </c>
      <c r="P448">
        <v>6871</v>
      </c>
    </row>
    <row r="449" spans="1:16" x14ac:dyDescent="0.3">
      <c r="A449">
        <v>448</v>
      </c>
      <c r="B449" s="1">
        <v>40991</v>
      </c>
      <c r="C449">
        <v>2</v>
      </c>
      <c r="D449">
        <v>1</v>
      </c>
      <c r="E449">
        <v>3</v>
      </c>
      <c r="F449">
        <v>0</v>
      </c>
      <c r="G449">
        <v>5</v>
      </c>
      <c r="H449">
        <v>1</v>
      </c>
      <c r="I449">
        <v>2</v>
      </c>
      <c r="J449">
        <v>0.60166699999999995</v>
      </c>
      <c r="K449">
        <v>0.57006699999999999</v>
      </c>
      <c r="L449">
        <v>0.69416699999999998</v>
      </c>
      <c r="M449">
        <v>0.1163</v>
      </c>
      <c r="N449">
        <v>2469</v>
      </c>
      <c r="O449">
        <v>5893</v>
      </c>
      <c r="P449">
        <v>8362</v>
      </c>
    </row>
    <row r="450" spans="1:16" x14ac:dyDescent="0.3">
      <c r="A450">
        <v>449</v>
      </c>
      <c r="B450" s="1">
        <v>40992</v>
      </c>
      <c r="C450">
        <v>2</v>
      </c>
      <c r="D450">
        <v>1</v>
      </c>
      <c r="E450">
        <v>3</v>
      </c>
      <c r="F450">
        <v>0</v>
      </c>
      <c r="G450">
        <v>6</v>
      </c>
      <c r="H450">
        <v>0</v>
      </c>
      <c r="I450">
        <v>2</v>
      </c>
      <c r="J450">
        <v>0.50249999999999995</v>
      </c>
      <c r="K450">
        <v>0.48673300000000003</v>
      </c>
      <c r="L450">
        <v>0.88541700000000001</v>
      </c>
      <c r="M450">
        <v>0.19278300000000001</v>
      </c>
      <c r="N450">
        <v>1033</v>
      </c>
      <c r="O450">
        <v>2339</v>
      </c>
      <c r="P450">
        <v>3372</v>
      </c>
    </row>
    <row r="451" spans="1:16" x14ac:dyDescent="0.3">
      <c r="A451">
        <v>450</v>
      </c>
      <c r="B451" s="1">
        <v>40993</v>
      </c>
      <c r="C451">
        <v>2</v>
      </c>
      <c r="D451">
        <v>1</v>
      </c>
      <c r="E451">
        <v>3</v>
      </c>
      <c r="F451">
        <v>0</v>
      </c>
      <c r="G451">
        <v>0</v>
      </c>
      <c r="H451">
        <v>0</v>
      </c>
      <c r="I451">
        <v>2</v>
      </c>
      <c r="J451">
        <v>0.4375</v>
      </c>
      <c r="K451">
        <v>0.43748799999999999</v>
      </c>
      <c r="L451">
        <v>0.88083299999999998</v>
      </c>
      <c r="M451">
        <v>0.220775</v>
      </c>
      <c r="N451">
        <v>1532</v>
      </c>
      <c r="O451">
        <v>3464</v>
      </c>
      <c r="P451">
        <v>4996</v>
      </c>
    </row>
    <row r="452" spans="1:16" x14ac:dyDescent="0.3">
      <c r="A452">
        <v>451</v>
      </c>
      <c r="B452" s="1">
        <v>40994</v>
      </c>
      <c r="C452">
        <v>2</v>
      </c>
      <c r="D452">
        <v>1</v>
      </c>
      <c r="E452">
        <v>3</v>
      </c>
      <c r="F452">
        <v>0</v>
      </c>
      <c r="G452">
        <v>1</v>
      </c>
      <c r="H452">
        <v>1</v>
      </c>
      <c r="I452">
        <v>1</v>
      </c>
      <c r="J452">
        <v>0.44583299999999998</v>
      </c>
      <c r="K452">
        <v>0.43874999999999997</v>
      </c>
      <c r="L452">
        <v>0.47791699999999998</v>
      </c>
      <c r="M452">
        <v>0.38682100000000003</v>
      </c>
      <c r="N452">
        <v>795</v>
      </c>
      <c r="O452">
        <v>4763</v>
      </c>
      <c r="P452">
        <v>5558</v>
      </c>
    </row>
    <row r="453" spans="1:16" x14ac:dyDescent="0.3">
      <c r="A453">
        <v>452</v>
      </c>
      <c r="B453" s="1">
        <v>40995</v>
      </c>
      <c r="C453">
        <v>2</v>
      </c>
      <c r="D453">
        <v>1</v>
      </c>
      <c r="E453">
        <v>3</v>
      </c>
      <c r="F453">
        <v>0</v>
      </c>
      <c r="G453">
        <v>2</v>
      </c>
      <c r="H453">
        <v>1</v>
      </c>
      <c r="I453">
        <v>1</v>
      </c>
      <c r="J453">
        <v>0.32333299999999998</v>
      </c>
      <c r="K453">
        <v>0.31565399999999999</v>
      </c>
      <c r="L453">
        <v>0.28999999999999998</v>
      </c>
      <c r="M453">
        <v>0.187192</v>
      </c>
      <c r="N453">
        <v>531</v>
      </c>
      <c r="O453">
        <v>4571</v>
      </c>
      <c r="P453">
        <v>5102</v>
      </c>
    </row>
    <row r="454" spans="1:16" x14ac:dyDescent="0.3">
      <c r="A454">
        <v>453</v>
      </c>
      <c r="B454" s="1">
        <v>40996</v>
      </c>
      <c r="C454">
        <v>2</v>
      </c>
      <c r="D454">
        <v>1</v>
      </c>
      <c r="E454">
        <v>3</v>
      </c>
      <c r="F454">
        <v>0</v>
      </c>
      <c r="G454">
        <v>3</v>
      </c>
      <c r="H454">
        <v>1</v>
      </c>
      <c r="I454">
        <v>1</v>
      </c>
      <c r="J454">
        <v>0.48416700000000001</v>
      </c>
      <c r="K454">
        <v>0.47094999999999998</v>
      </c>
      <c r="L454">
        <v>0.48125000000000001</v>
      </c>
      <c r="M454">
        <v>0.29167100000000001</v>
      </c>
      <c r="N454">
        <v>674</v>
      </c>
      <c r="O454">
        <v>5024</v>
      </c>
      <c r="P454">
        <v>5698</v>
      </c>
    </row>
    <row r="455" spans="1:16" x14ac:dyDescent="0.3">
      <c r="A455">
        <v>454</v>
      </c>
      <c r="B455" s="1">
        <v>40997</v>
      </c>
      <c r="C455">
        <v>2</v>
      </c>
      <c r="D455">
        <v>1</v>
      </c>
      <c r="E455">
        <v>3</v>
      </c>
      <c r="F455">
        <v>0</v>
      </c>
      <c r="G455">
        <v>4</v>
      </c>
      <c r="H455">
        <v>1</v>
      </c>
      <c r="I455">
        <v>1</v>
      </c>
      <c r="J455">
        <v>0.49416700000000002</v>
      </c>
      <c r="K455">
        <v>0.48230400000000001</v>
      </c>
      <c r="L455">
        <v>0.43916699999999997</v>
      </c>
      <c r="M455">
        <v>0.31964999999999999</v>
      </c>
      <c r="N455">
        <v>834</v>
      </c>
      <c r="O455">
        <v>5299</v>
      </c>
      <c r="P455">
        <v>6133</v>
      </c>
    </row>
    <row r="456" spans="1:16" x14ac:dyDescent="0.3">
      <c r="A456">
        <v>455</v>
      </c>
      <c r="B456" s="1">
        <v>40998</v>
      </c>
      <c r="C456">
        <v>2</v>
      </c>
      <c r="D456">
        <v>1</v>
      </c>
      <c r="E456">
        <v>3</v>
      </c>
      <c r="F456">
        <v>0</v>
      </c>
      <c r="G456">
        <v>5</v>
      </c>
      <c r="H456">
        <v>1</v>
      </c>
      <c r="I456">
        <v>2</v>
      </c>
      <c r="J456">
        <v>0.37</v>
      </c>
      <c r="K456">
        <v>0.37562099999999998</v>
      </c>
      <c r="L456">
        <v>0.58083300000000004</v>
      </c>
      <c r="M456">
        <v>0.138067</v>
      </c>
      <c r="N456">
        <v>796</v>
      </c>
      <c r="O456">
        <v>4663</v>
      </c>
      <c r="P456">
        <v>5459</v>
      </c>
    </row>
    <row r="457" spans="1:16" x14ac:dyDescent="0.3">
      <c r="A457">
        <v>456</v>
      </c>
      <c r="B457" s="1">
        <v>40999</v>
      </c>
      <c r="C457">
        <v>2</v>
      </c>
      <c r="D457">
        <v>1</v>
      </c>
      <c r="E457">
        <v>3</v>
      </c>
      <c r="F457">
        <v>0</v>
      </c>
      <c r="G457">
        <v>6</v>
      </c>
      <c r="H457">
        <v>0</v>
      </c>
      <c r="I457">
        <v>2</v>
      </c>
      <c r="J457">
        <v>0.42416700000000002</v>
      </c>
      <c r="K457">
        <v>0.42170800000000003</v>
      </c>
      <c r="L457">
        <v>0.73833300000000002</v>
      </c>
      <c r="M457">
        <v>0.25061699999999998</v>
      </c>
      <c r="N457">
        <v>2301</v>
      </c>
      <c r="O457">
        <v>3934</v>
      </c>
      <c r="P457">
        <v>6235</v>
      </c>
    </row>
    <row r="458" spans="1:16" x14ac:dyDescent="0.3">
      <c r="A458">
        <v>457</v>
      </c>
      <c r="B458" s="1">
        <v>41000</v>
      </c>
      <c r="C458">
        <v>2</v>
      </c>
      <c r="D458">
        <v>1</v>
      </c>
      <c r="E458">
        <v>4</v>
      </c>
      <c r="F458">
        <v>0</v>
      </c>
      <c r="G458">
        <v>0</v>
      </c>
      <c r="H458">
        <v>0</v>
      </c>
      <c r="I458">
        <v>2</v>
      </c>
      <c r="J458">
        <v>0.42583300000000002</v>
      </c>
      <c r="K458">
        <v>0.41728700000000002</v>
      </c>
      <c r="L458">
        <v>0.67625000000000002</v>
      </c>
      <c r="M458">
        <v>0.172267</v>
      </c>
      <c r="N458">
        <v>2347</v>
      </c>
      <c r="O458">
        <v>3694</v>
      </c>
      <c r="P458">
        <v>6041</v>
      </c>
    </row>
    <row r="459" spans="1:16" x14ac:dyDescent="0.3">
      <c r="A459">
        <v>458</v>
      </c>
      <c r="B459" s="1">
        <v>41001</v>
      </c>
      <c r="C459">
        <v>2</v>
      </c>
      <c r="D459">
        <v>1</v>
      </c>
      <c r="E459">
        <v>4</v>
      </c>
      <c r="F459">
        <v>0</v>
      </c>
      <c r="G459">
        <v>1</v>
      </c>
      <c r="H459">
        <v>1</v>
      </c>
      <c r="I459">
        <v>1</v>
      </c>
      <c r="J459">
        <v>0.43391299999999999</v>
      </c>
      <c r="K459">
        <v>0.42751299999999998</v>
      </c>
      <c r="L459">
        <v>0.50434800000000002</v>
      </c>
      <c r="M459">
        <v>0.312139</v>
      </c>
      <c r="N459">
        <v>1208</v>
      </c>
      <c r="O459">
        <v>4728</v>
      </c>
      <c r="P459">
        <v>5936</v>
      </c>
    </row>
    <row r="460" spans="1:16" x14ac:dyDescent="0.3">
      <c r="A460">
        <v>459</v>
      </c>
      <c r="B460" s="1">
        <v>41002</v>
      </c>
      <c r="C460">
        <v>2</v>
      </c>
      <c r="D460">
        <v>1</v>
      </c>
      <c r="E460">
        <v>4</v>
      </c>
      <c r="F460">
        <v>0</v>
      </c>
      <c r="G460">
        <v>2</v>
      </c>
      <c r="H460">
        <v>1</v>
      </c>
      <c r="I460">
        <v>1</v>
      </c>
      <c r="J460">
        <v>0.466667</v>
      </c>
      <c r="K460">
        <v>0.46148299999999998</v>
      </c>
      <c r="L460">
        <v>0.39666699999999999</v>
      </c>
      <c r="M460">
        <v>0.100133</v>
      </c>
      <c r="N460">
        <v>1348</v>
      </c>
      <c r="O460">
        <v>5424</v>
      </c>
      <c r="P460">
        <v>6772</v>
      </c>
    </row>
    <row r="461" spans="1:16" x14ac:dyDescent="0.3">
      <c r="A461">
        <v>460</v>
      </c>
      <c r="B461" s="1">
        <v>41003</v>
      </c>
      <c r="C461">
        <v>2</v>
      </c>
      <c r="D461">
        <v>1</v>
      </c>
      <c r="E461">
        <v>4</v>
      </c>
      <c r="F461">
        <v>0</v>
      </c>
      <c r="G461">
        <v>3</v>
      </c>
      <c r="H461">
        <v>1</v>
      </c>
      <c r="I461">
        <v>1</v>
      </c>
      <c r="J461">
        <v>0.54166700000000001</v>
      </c>
      <c r="K461">
        <v>0.53344999999999998</v>
      </c>
      <c r="L461">
        <v>0.46958299999999997</v>
      </c>
      <c r="M461">
        <v>0.180975</v>
      </c>
      <c r="N461">
        <v>1058</v>
      </c>
      <c r="O461">
        <v>5378</v>
      </c>
      <c r="P461">
        <v>6436</v>
      </c>
    </row>
    <row r="462" spans="1:16" x14ac:dyDescent="0.3">
      <c r="A462">
        <v>461</v>
      </c>
      <c r="B462" s="1">
        <v>41004</v>
      </c>
      <c r="C462">
        <v>2</v>
      </c>
      <c r="D462">
        <v>1</v>
      </c>
      <c r="E462">
        <v>4</v>
      </c>
      <c r="F462">
        <v>0</v>
      </c>
      <c r="G462">
        <v>4</v>
      </c>
      <c r="H462">
        <v>1</v>
      </c>
      <c r="I462">
        <v>1</v>
      </c>
      <c r="J462">
        <v>0.435</v>
      </c>
      <c r="K462">
        <v>0.43116300000000002</v>
      </c>
      <c r="L462">
        <v>0.37416700000000003</v>
      </c>
      <c r="M462">
        <v>0.219529</v>
      </c>
      <c r="N462">
        <v>1192</v>
      </c>
      <c r="O462">
        <v>5265</v>
      </c>
      <c r="P462">
        <v>6457</v>
      </c>
    </row>
    <row r="463" spans="1:16" x14ac:dyDescent="0.3">
      <c r="A463">
        <v>462</v>
      </c>
      <c r="B463" s="1">
        <v>41005</v>
      </c>
      <c r="C463">
        <v>2</v>
      </c>
      <c r="D463">
        <v>1</v>
      </c>
      <c r="E463">
        <v>4</v>
      </c>
      <c r="F463">
        <v>0</v>
      </c>
      <c r="G463">
        <v>5</v>
      </c>
      <c r="H463">
        <v>1</v>
      </c>
      <c r="I463">
        <v>1</v>
      </c>
      <c r="J463">
        <v>0.403333</v>
      </c>
      <c r="K463">
        <v>0.39076699999999998</v>
      </c>
      <c r="L463">
        <v>0.377083</v>
      </c>
      <c r="M463">
        <v>0.30038799999999999</v>
      </c>
      <c r="N463">
        <v>1807</v>
      </c>
      <c r="O463">
        <v>4653</v>
      </c>
      <c r="P463">
        <v>6460</v>
      </c>
    </row>
    <row r="464" spans="1:16" x14ac:dyDescent="0.3">
      <c r="A464">
        <v>463</v>
      </c>
      <c r="B464" s="1">
        <v>41006</v>
      </c>
      <c r="C464">
        <v>2</v>
      </c>
      <c r="D464">
        <v>1</v>
      </c>
      <c r="E464">
        <v>4</v>
      </c>
      <c r="F464">
        <v>0</v>
      </c>
      <c r="G464">
        <v>6</v>
      </c>
      <c r="H464">
        <v>0</v>
      </c>
      <c r="I464">
        <v>1</v>
      </c>
      <c r="J464">
        <v>0.4375</v>
      </c>
      <c r="K464">
        <v>0.42612899999999998</v>
      </c>
      <c r="L464">
        <v>0.25416699999999998</v>
      </c>
      <c r="M464">
        <v>0.27487099999999998</v>
      </c>
      <c r="N464">
        <v>3252</v>
      </c>
      <c r="O464">
        <v>3605</v>
      </c>
      <c r="P464">
        <v>6857</v>
      </c>
    </row>
    <row r="465" spans="1:16" x14ac:dyDescent="0.3">
      <c r="A465">
        <v>464</v>
      </c>
      <c r="B465" s="1">
        <v>41007</v>
      </c>
      <c r="C465">
        <v>2</v>
      </c>
      <c r="D465">
        <v>1</v>
      </c>
      <c r="E465">
        <v>4</v>
      </c>
      <c r="F465">
        <v>0</v>
      </c>
      <c r="G465">
        <v>0</v>
      </c>
      <c r="H465">
        <v>0</v>
      </c>
      <c r="I465">
        <v>1</v>
      </c>
      <c r="J465">
        <v>0.5</v>
      </c>
      <c r="K465">
        <v>0.492425</v>
      </c>
      <c r="L465">
        <v>0.27583299999999999</v>
      </c>
      <c r="M465">
        <v>0.232596</v>
      </c>
      <c r="N465">
        <v>2230</v>
      </c>
      <c r="O465">
        <v>2939</v>
      </c>
      <c r="P465">
        <v>5169</v>
      </c>
    </row>
    <row r="466" spans="1:16" x14ac:dyDescent="0.3">
      <c r="A466">
        <v>465</v>
      </c>
      <c r="B466" s="1">
        <v>41008</v>
      </c>
      <c r="C466">
        <v>2</v>
      </c>
      <c r="D466">
        <v>1</v>
      </c>
      <c r="E466">
        <v>4</v>
      </c>
      <c r="F466">
        <v>0</v>
      </c>
      <c r="G466">
        <v>1</v>
      </c>
      <c r="H466">
        <v>1</v>
      </c>
      <c r="I466">
        <v>1</v>
      </c>
      <c r="J466">
        <v>0.48916700000000002</v>
      </c>
      <c r="K466">
        <v>0.47663800000000001</v>
      </c>
      <c r="L466">
        <v>0.3175</v>
      </c>
      <c r="M466">
        <v>0.35819600000000001</v>
      </c>
      <c r="N466">
        <v>905</v>
      </c>
      <c r="O466">
        <v>4680</v>
      </c>
      <c r="P466">
        <v>5585</v>
      </c>
    </row>
    <row r="467" spans="1:16" x14ac:dyDescent="0.3">
      <c r="A467">
        <v>466</v>
      </c>
      <c r="B467" s="1">
        <v>41009</v>
      </c>
      <c r="C467">
        <v>2</v>
      </c>
      <c r="D467">
        <v>1</v>
      </c>
      <c r="E467">
        <v>4</v>
      </c>
      <c r="F467">
        <v>0</v>
      </c>
      <c r="G467">
        <v>2</v>
      </c>
      <c r="H467">
        <v>1</v>
      </c>
      <c r="I467">
        <v>1</v>
      </c>
      <c r="J467">
        <v>0.44666699999999998</v>
      </c>
      <c r="K467">
        <v>0.43623299999999998</v>
      </c>
      <c r="L467">
        <v>0.435</v>
      </c>
      <c r="M467">
        <v>0.24937500000000001</v>
      </c>
      <c r="N467">
        <v>819</v>
      </c>
      <c r="O467">
        <v>5099</v>
      </c>
      <c r="P467">
        <v>5918</v>
      </c>
    </row>
    <row r="468" spans="1:16" x14ac:dyDescent="0.3">
      <c r="A468">
        <v>467</v>
      </c>
      <c r="B468" s="1">
        <v>41010</v>
      </c>
      <c r="C468">
        <v>2</v>
      </c>
      <c r="D468">
        <v>1</v>
      </c>
      <c r="E468">
        <v>4</v>
      </c>
      <c r="F468">
        <v>0</v>
      </c>
      <c r="G468">
        <v>3</v>
      </c>
      <c r="H468">
        <v>1</v>
      </c>
      <c r="I468">
        <v>1</v>
      </c>
      <c r="J468">
        <v>0.34869600000000001</v>
      </c>
      <c r="K468">
        <v>0.33727400000000002</v>
      </c>
      <c r="L468">
        <v>0.46956500000000001</v>
      </c>
      <c r="M468">
        <v>0.29527399999999998</v>
      </c>
      <c r="N468">
        <v>482</v>
      </c>
      <c r="O468">
        <v>4380</v>
      </c>
      <c r="P468">
        <v>4862</v>
      </c>
    </row>
    <row r="469" spans="1:16" x14ac:dyDescent="0.3">
      <c r="A469">
        <v>468</v>
      </c>
      <c r="B469" s="1">
        <v>41011</v>
      </c>
      <c r="C469">
        <v>2</v>
      </c>
      <c r="D469">
        <v>1</v>
      </c>
      <c r="E469">
        <v>4</v>
      </c>
      <c r="F469">
        <v>0</v>
      </c>
      <c r="G469">
        <v>4</v>
      </c>
      <c r="H469">
        <v>1</v>
      </c>
      <c r="I469">
        <v>1</v>
      </c>
      <c r="J469">
        <v>0.39750000000000002</v>
      </c>
      <c r="K469">
        <v>0.387604</v>
      </c>
      <c r="L469">
        <v>0.46625</v>
      </c>
      <c r="M469">
        <v>0.29042899999999999</v>
      </c>
      <c r="N469">
        <v>663</v>
      </c>
      <c r="O469">
        <v>4746</v>
      </c>
      <c r="P469">
        <v>5409</v>
      </c>
    </row>
    <row r="470" spans="1:16" x14ac:dyDescent="0.3">
      <c r="A470">
        <v>469</v>
      </c>
      <c r="B470" s="1">
        <v>41012</v>
      </c>
      <c r="C470">
        <v>2</v>
      </c>
      <c r="D470">
        <v>1</v>
      </c>
      <c r="E470">
        <v>4</v>
      </c>
      <c r="F470">
        <v>0</v>
      </c>
      <c r="G470">
        <v>5</v>
      </c>
      <c r="H470">
        <v>1</v>
      </c>
      <c r="I470">
        <v>1</v>
      </c>
      <c r="J470">
        <v>0.4425</v>
      </c>
      <c r="K470">
        <v>0.43180800000000003</v>
      </c>
      <c r="L470">
        <v>0.408333</v>
      </c>
      <c r="M470">
        <v>0.155471</v>
      </c>
      <c r="N470">
        <v>1252</v>
      </c>
      <c r="O470">
        <v>5146</v>
      </c>
      <c r="P470">
        <v>6398</v>
      </c>
    </row>
    <row r="471" spans="1:16" x14ac:dyDescent="0.3">
      <c r="A471">
        <v>470</v>
      </c>
      <c r="B471" s="1">
        <v>41013</v>
      </c>
      <c r="C471">
        <v>2</v>
      </c>
      <c r="D471">
        <v>1</v>
      </c>
      <c r="E471">
        <v>4</v>
      </c>
      <c r="F471">
        <v>0</v>
      </c>
      <c r="G471">
        <v>6</v>
      </c>
      <c r="H471">
        <v>0</v>
      </c>
      <c r="I471">
        <v>1</v>
      </c>
      <c r="J471">
        <v>0.495</v>
      </c>
      <c r="K471">
        <v>0.48799599999999999</v>
      </c>
      <c r="L471">
        <v>0.50291699999999995</v>
      </c>
      <c r="M471">
        <v>0.190917</v>
      </c>
      <c r="N471">
        <v>2795</v>
      </c>
      <c r="O471">
        <v>4665</v>
      </c>
      <c r="P471">
        <v>7460</v>
      </c>
    </row>
    <row r="472" spans="1:16" x14ac:dyDescent="0.3">
      <c r="A472">
        <v>471</v>
      </c>
      <c r="B472" s="1">
        <v>41014</v>
      </c>
      <c r="C472">
        <v>2</v>
      </c>
      <c r="D472">
        <v>1</v>
      </c>
      <c r="E472">
        <v>4</v>
      </c>
      <c r="F472">
        <v>0</v>
      </c>
      <c r="G472">
        <v>0</v>
      </c>
      <c r="H472">
        <v>0</v>
      </c>
      <c r="I472">
        <v>1</v>
      </c>
      <c r="J472">
        <v>0.60666699999999996</v>
      </c>
      <c r="K472">
        <v>0.57387500000000002</v>
      </c>
      <c r="L472">
        <v>0.50791699999999995</v>
      </c>
      <c r="M472">
        <v>0.225129</v>
      </c>
      <c r="N472">
        <v>2846</v>
      </c>
      <c r="O472">
        <v>4286</v>
      </c>
      <c r="P472">
        <v>7132</v>
      </c>
    </row>
    <row r="473" spans="1:16" x14ac:dyDescent="0.3">
      <c r="A473">
        <v>472</v>
      </c>
      <c r="B473" s="1">
        <v>41015</v>
      </c>
      <c r="C473">
        <v>2</v>
      </c>
      <c r="D473">
        <v>1</v>
      </c>
      <c r="E473">
        <v>4</v>
      </c>
      <c r="F473">
        <v>1</v>
      </c>
      <c r="G473">
        <v>1</v>
      </c>
      <c r="H473">
        <v>0</v>
      </c>
      <c r="I473">
        <v>1</v>
      </c>
      <c r="J473">
        <v>0.66416699999999995</v>
      </c>
      <c r="K473">
        <v>0.61492500000000005</v>
      </c>
      <c r="L473">
        <v>0.56166700000000003</v>
      </c>
      <c r="M473">
        <v>0.284829</v>
      </c>
      <c r="N473">
        <v>1198</v>
      </c>
      <c r="O473">
        <v>5172</v>
      </c>
      <c r="P473">
        <v>6370</v>
      </c>
    </row>
    <row r="474" spans="1:16" x14ac:dyDescent="0.3">
      <c r="A474">
        <v>473</v>
      </c>
      <c r="B474" s="1">
        <v>41016</v>
      </c>
      <c r="C474">
        <v>2</v>
      </c>
      <c r="D474">
        <v>1</v>
      </c>
      <c r="E474">
        <v>4</v>
      </c>
      <c r="F474">
        <v>0</v>
      </c>
      <c r="G474">
        <v>2</v>
      </c>
      <c r="H474">
        <v>1</v>
      </c>
      <c r="I474">
        <v>1</v>
      </c>
      <c r="J474">
        <v>0.60833300000000001</v>
      </c>
      <c r="K474">
        <v>0.59848699999999999</v>
      </c>
      <c r="L474">
        <v>0.39041700000000001</v>
      </c>
      <c r="M474">
        <v>0.27362900000000001</v>
      </c>
      <c r="N474">
        <v>989</v>
      </c>
      <c r="O474">
        <v>5702</v>
      </c>
      <c r="P474">
        <v>6691</v>
      </c>
    </row>
    <row r="475" spans="1:16" x14ac:dyDescent="0.3">
      <c r="A475">
        <v>474</v>
      </c>
      <c r="B475" s="1">
        <v>41017</v>
      </c>
      <c r="C475">
        <v>2</v>
      </c>
      <c r="D475">
        <v>1</v>
      </c>
      <c r="E475">
        <v>4</v>
      </c>
      <c r="F475">
        <v>0</v>
      </c>
      <c r="G475">
        <v>3</v>
      </c>
      <c r="H475">
        <v>1</v>
      </c>
      <c r="I475">
        <v>2</v>
      </c>
      <c r="J475">
        <v>0.46333299999999999</v>
      </c>
      <c r="K475">
        <v>0.457038</v>
      </c>
      <c r="L475">
        <v>0.56916699999999998</v>
      </c>
      <c r="M475">
        <v>0.16791200000000001</v>
      </c>
      <c r="N475">
        <v>347</v>
      </c>
      <c r="O475">
        <v>4020</v>
      </c>
      <c r="P475">
        <v>4367</v>
      </c>
    </row>
    <row r="476" spans="1:16" x14ac:dyDescent="0.3">
      <c r="A476">
        <v>475</v>
      </c>
      <c r="B476" s="1">
        <v>41018</v>
      </c>
      <c r="C476">
        <v>2</v>
      </c>
      <c r="D476">
        <v>1</v>
      </c>
      <c r="E476">
        <v>4</v>
      </c>
      <c r="F476">
        <v>0</v>
      </c>
      <c r="G476">
        <v>4</v>
      </c>
      <c r="H476">
        <v>1</v>
      </c>
      <c r="I476">
        <v>1</v>
      </c>
      <c r="J476">
        <v>0.49833300000000003</v>
      </c>
      <c r="K476">
        <v>0.49304599999999998</v>
      </c>
      <c r="L476">
        <v>0.61250000000000004</v>
      </c>
      <c r="M476">
        <v>6.5929199999999993E-2</v>
      </c>
      <c r="N476">
        <v>846</v>
      </c>
      <c r="O476">
        <v>5719</v>
      </c>
      <c r="P476">
        <v>6565</v>
      </c>
    </row>
    <row r="477" spans="1:16" x14ac:dyDescent="0.3">
      <c r="A477">
        <v>476</v>
      </c>
      <c r="B477" s="1">
        <v>41019</v>
      </c>
      <c r="C477">
        <v>2</v>
      </c>
      <c r="D477">
        <v>1</v>
      </c>
      <c r="E477">
        <v>4</v>
      </c>
      <c r="F477">
        <v>0</v>
      </c>
      <c r="G477">
        <v>5</v>
      </c>
      <c r="H477">
        <v>1</v>
      </c>
      <c r="I477">
        <v>1</v>
      </c>
      <c r="J477">
        <v>0.526667</v>
      </c>
      <c r="K477">
        <v>0.51577499999999998</v>
      </c>
      <c r="L477">
        <v>0.69458299999999995</v>
      </c>
      <c r="M477">
        <v>0.149871</v>
      </c>
      <c r="N477">
        <v>1340</v>
      </c>
      <c r="O477">
        <v>5950</v>
      </c>
      <c r="P477">
        <v>7290</v>
      </c>
    </row>
    <row r="478" spans="1:16" x14ac:dyDescent="0.3">
      <c r="A478">
        <v>477</v>
      </c>
      <c r="B478" s="1">
        <v>41020</v>
      </c>
      <c r="C478">
        <v>2</v>
      </c>
      <c r="D478">
        <v>1</v>
      </c>
      <c r="E478">
        <v>4</v>
      </c>
      <c r="F478">
        <v>0</v>
      </c>
      <c r="G478">
        <v>6</v>
      </c>
      <c r="H478">
        <v>0</v>
      </c>
      <c r="I478">
        <v>1</v>
      </c>
      <c r="J478">
        <v>0.56999999999999995</v>
      </c>
      <c r="K478">
        <v>0.54292099999999999</v>
      </c>
      <c r="L478">
        <v>0.682917</v>
      </c>
      <c r="M478">
        <v>0.28358699999999998</v>
      </c>
      <c r="N478">
        <v>2541</v>
      </c>
      <c r="O478">
        <v>4083</v>
      </c>
      <c r="P478">
        <v>6624</v>
      </c>
    </row>
    <row r="479" spans="1:16" x14ac:dyDescent="0.3">
      <c r="A479">
        <v>478</v>
      </c>
      <c r="B479" s="1">
        <v>41021</v>
      </c>
      <c r="C479">
        <v>2</v>
      </c>
      <c r="D479">
        <v>1</v>
      </c>
      <c r="E479">
        <v>4</v>
      </c>
      <c r="F479">
        <v>0</v>
      </c>
      <c r="G479">
        <v>0</v>
      </c>
      <c r="H479">
        <v>0</v>
      </c>
      <c r="I479">
        <v>3</v>
      </c>
      <c r="J479">
        <v>0.39666699999999999</v>
      </c>
      <c r="K479">
        <v>0.38950400000000002</v>
      </c>
      <c r="L479">
        <v>0.83541699999999997</v>
      </c>
      <c r="M479">
        <v>0.34454600000000002</v>
      </c>
      <c r="N479">
        <v>120</v>
      </c>
      <c r="O479">
        <v>907</v>
      </c>
      <c r="P479">
        <v>1027</v>
      </c>
    </row>
    <row r="480" spans="1:16" x14ac:dyDescent="0.3">
      <c r="A480">
        <v>479</v>
      </c>
      <c r="B480" s="1">
        <v>41022</v>
      </c>
      <c r="C480">
        <v>2</v>
      </c>
      <c r="D480">
        <v>1</v>
      </c>
      <c r="E480">
        <v>4</v>
      </c>
      <c r="F480">
        <v>0</v>
      </c>
      <c r="G480">
        <v>1</v>
      </c>
      <c r="H480">
        <v>1</v>
      </c>
      <c r="I480">
        <v>2</v>
      </c>
      <c r="J480">
        <v>0.32166699999999998</v>
      </c>
      <c r="K480">
        <v>0.30112499999999998</v>
      </c>
      <c r="L480">
        <v>0.76666699999999999</v>
      </c>
      <c r="M480">
        <v>0.30349599999999999</v>
      </c>
      <c r="N480">
        <v>195</v>
      </c>
      <c r="O480">
        <v>3019</v>
      </c>
      <c r="P480">
        <v>3214</v>
      </c>
    </row>
    <row r="481" spans="1:16" x14ac:dyDescent="0.3">
      <c r="A481">
        <v>480</v>
      </c>
      <c r="B481" s="1">
        <v>41023</v>
      </c>
      <c r="C481">
        <v>2</v>
      </c>
      <c r="D481">
        <v>1</v>
      </c>
      <c r="E481">
        <v>4</v>
      </c>
      <c r="F481">
        <v>0</v>
      </c>
      <c r="G481">
        <v>2</v>
      </c>
      <c r="H481">
        <v>1</v>
      </c>
      <c r="I481">
        <v>1</v>
      </c>
      <c r="J481">
        <v>0.41333300000000001</v>
      </c>
      <c r="K481">
        <v>0.405283</v>
      </c>
      <c r="L481">
        <v>0.45416699999999999</v>
      </c>
      <c r="M481">
        <v>0.24938299999999999</v>
      </c>
      <c r="N481">
        <v>518</v>
      </c>
      <c r="O481">
        <v>5115</v>
      </c>
      <c r="P481">
        <v>5633</v>
      </c>
    </row>
    <row r="482" spans="1:16" x14ac:dyDescent="0.3">
      <c r="A482">
        <v>481</v>
      </c>
      <c r="B482" s="1">
        <v>41024</v>
      </c>
      <c r="C482">
        <v>2</v>
      </c>
      <c r="D482">
        <v>1</v>
      </c>
      <c r="E482">
        <v>4</v>
      </c>
      <c r="F482">
        <v>0</v>
      </c>
      <c r="G482">
        <v>3</v>
      </c>
      <c r="H482">
        <v>1</v>
      </c>
      <c r="I482">
        <v>1</v>
      </c>
      <c r="J482">
        <v>0.47666700000000001</v>
      </c>
      <c r="K482">
        <v>0.47031699999999999</v>
      </c>
      <c r="L482">
        <v>0.42791699999999999</v>
      </c>
      <c r="M482">
        <v>0.11879199999999999</v>
      </c>
      <c r="N482">
        <v>655</v>
      </c>
      <c r="O482">
        <v>5541</v>
      </c>
      <c r="P482">
        <v>6196</v>
      </c>
    </row>
    <row r="483" spans="1:16" x14ac:dyDescent="0.3">
      <c r="A483">
        <v>482</v>
      </c>
      <c r="B483" s="1">
        <v>41025</v>
      </c>
      <c r="C483">
        <v>2</v>
      </c>
      <c r="D483">
        <v>1</v>
      </c>
      <c r="E483">
        <v>4</v>
      </c>
      <c r="F483">
        <v>0</v>
      </c>
      <c r="G483">
        <v>4</v>
      </c>
      <c r="H483">
        <v>1</v>
      </c>
      <c r="I483">
        <v>2</v>
      </c>
      <c r="J483">
        <v>0.49833300000000003</v>
      </c>
      <c r="K483">
        <v>0.48358299999999999</v>
      </c>
      <c r="L483">
        <v>0.75666699999999998</v>
      </c>
      <c r="M483">
        <v>0.176625</v>
      </c>
      <c r="N483">
        <v>475</v>
      </c>
      <c r="O483">
        <v>4551</v>
      </c>
      <c r="P483">
        <v>5026</v>
      </c>
    </row>
    <row r="484" spans="1:16" x14ac:dyDescent="0.3">
      <c r="A484">
        <v>483</v>
      </c>
      <c r="B484" s="1">
        <v>41026</v>
      </c>
      <c r="C484">
        <v>2</v>
      </c>
      <c r="D484">
        <v>1</v>
      </c>
      <c r="E484">
        <v>4</v>
      </c>
      <c r="F484">
        <v>0</v>
      </c>
      <c r="G484">
        <v>5</v>
      </c>
      <c r="H484">
        <v>1</v>
      </c>
      <c r="I484">
        <v>1</v>
      </c>
      <c r="J484">
        <v>0.45750000000000002</v>
      </c>
      <c r="K484">
        <v>0.45263700000000001</v>
      </c>
      <c r="L484">
        <v>0.40083299999999999</v>
      </c>
      <c r="M484">
        <v>0.34763300000000003</v>
      </c>
      <c r="N484">
        <v>1014</v>
      </c>
      <c r="O484">
        <v>5219</v>
      </c>
      <c r="P484">
        <v>6233</v>
      </c>
    </row>
    <row r="485" spans="1:16" x14ac:dyDescent="0.3">
      <c r="A485">
        <v>484</v>
      </c>
      <c r="B485" s="1">
        <v>41027</v>
      </c>
      <c r="C485">
        <v>2</v>
      </c>
      <c r="D485">
        <v>1</v>
      </c>
      <c r="E485">
        <v>4</v>
      </c>
      <c r="F485">
        <v>0</v>
      </c>
      <c r="G485">
        <v>6</v>
      </c>
      <c r="H485">
        <v>0</v>
      </c>
      <c r="I485">
        <v>2</v>
      </c>
      <c r="J485">
        <v>0.37666699999999997</v>
      </c>
      <c r="K485">
        <v>0.37750400000000001</v>
      </c>
      <c r="L485">
        <v>0.48958299999999999</v>
      </c>
      <c r="M485">
        <v>0.12997500000000001</v>
      </c>
      <c r="N485">
        <v>1120</v>
      </c>
      <c r="O485">
        <v>3100</v>
      </c>
      <c r="P485">
        <v>4220</v>
      </c>
    </row>
    <row r="486" spans="1:16" x14ac:dyDescent="0.3">
      <c r="A486">
        <v>485</v>
      </c>
      <c r="B486" s="1">
        <v>41028</v>
      </c>
      <c r="C486">
        <v>2</v>
      </c>
      <c r="D486">
        <v>1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0.45833299999999999</v>
      </c>
      <c r="K486">
        <v>0.45012099999999999</v>
      </c>
      <c r="L486">
        <v>0.58708300000000002</v>
      </c>
      <c r="M486">
        <v>0.116908</v>
      </c>
      <c r="N486">
        <v>2229</v>
      </c>
      <c r="O486">
        <v>4075</v>
      </c>
      <c r="P486">
        <v>6304</v>
      </c>
    </row>
    <row r="487" spans="1:16" x14ac:dyDescent="0.3">
      <c r="A487">
        <v>486</v>
      </c>
      <c r="B487" s="1">
        <v>41029</v>
      </c>
      <c r="C487">
        <v>2</v>
      </c>
      <c r="D487">
        <v>1</v>
      </c>
      <c r="E487">
        <v>4</v>
      </c>
      <c r="F487">
        <v>0</v>
      </c>
      <c r="G487">
        <v>1</v>
      </c>
      <c r="H487">
        <v>1</v>
      </c>
      <c r="I487">
        <v>2</v>
      </c>
      <c r="J487">
        <v>0.464167</v>
      </c>
      <c r="K487">
        <v>0.45769599999999999</v>
      </c>
      <c r="L487">
        <v>0.56999999999999995</v>
      </c>
      <c r="M487">
        <v>0.17163800000000001</v>
      </c>
      <c r="N487">
        <v>665</v>
      </c>
      <c r="O487">
        <v>4907</v>
      </c>
      <c r="P487">
        <v>5572</v>
      </c>
    </row>
    <row r="488" spans="1:16" x14ac:dyDescent="0.3">
      <c r="A488">
        <v>487</v>
      </c>
      <c r="B488" s="1">
        <v>41030</v>
      </c>
      <c r="C488">
        <v>2</v>
      </c>
      <c r="D488">
        <v>1</v>
      </c>
      <c r="E488">
        <v>5</v>
      </c>
      <c r="F488">
        <v>0</v>
      </c>
      <c r="G488">
        <v>2</v>
      </c>
      <c r="H488">
        <v>1</v>
      </c>
      <c r="I488">
        <v>2</v>
      </c>
      <c r="J488">
        <v>0.61333300000000002</v>
      </c>
      <c r="K488">
        <v>0.57702100000000001</v>
      </c>
      <c r="L488">
        <v>0.65958300000000003</v>
      </c>
      <c r="M488">
        <v>0.15609600000000001</v>
      </c>
      <c r="N488">
        <v>653</v>
      </c>
      <c r="O488">
        <v>5087</v>
      </c>
      <c r="P488">
        <v>5740</v>
      </c>
    </row>
    <row r="489" spans="1:16" x14ac:dyDescent="0.3">
      <c r="A489">
        <v>488</v>
      </c>
      <c r="B489" s="1">
        <v>41031</v>
      </c>
      <c r="C489">
        <v>2</v>
      </c>
      <c r="D489">
        <v>1</v>
      </c>
      <c r="E489">
        <v>5</v>
      </c>
      <c r="F489">
        <v>0</v>
      </c>
      <c r="G489">
        <v>3</v>
      </c>
      <c r="H489">
        <v>1</v>
      </c>
      <c r="I489">
        <v>1</v>
      </c>
      <c r="J489">
        <v>0.56416699999999997</v>
      </c>
      <c r="K489">
        <v>0.53789600000000004</v>
      </c>
      <c r="L489">
        <v>0.79708299999999999</v>
      </c>
      <c r="M489">
        <v>0.13805799999999999</v>
      </c>
      <c r="N489">
        <v>667</v>
      </c>
      <c r="O489">
        <v>5502</v>
      </c>
      <c r="P489">
        <v>6169</v>
      </c>
    </row>
    <row r="490" spans="1:16" x14ac:dyDescent="0.3">
      <c r="A490">
        <v>489</v>
      </c>
      <c r="B490" s="1">
        <v>41032</v>
      </c>
      <c r="C490">
        <v>2</v>
      </c>
      <c r="D490">
        <v>1</v>
      </c>
      <c r="E490">
        <v>5</v>
      </c>
      <c r="F490">
        <v>0</v>
      </c>
      <c r="G490">
        <v>4</v>
      </c>
      <c r="H490">
        <v>1</v>
      </c>
      <c r="I490">
        <v>2</v>
      </c>
      <c r="J490">
        <v>0.56000000000000005</v>
      </c>
      <c r="K490">
        <v>0.537242</v>
      </c>
      <c r="L490">
        <v>0.76833300000000004</v>
      </c>
      <c r="M490">
        <v>0.13369600000000001</v>
      </c>
      <c r="N490">
        <v>764</v>
      </c>
      <c r="O490">
        <v>5657</v>
      </c>
      <c r="P490">
        <v>6421</v>
      </c>
    </row>
    <row r="491" spans="1:16" x14ac:dyDescent="0.3">
      <c r="A491">
        <v>490</v>
      </c>
      <c r="B491" s="1">
        <v>41033</v>
      </c>
      <c r="C491">
        <v>2</v>
      </c>
      <c r="D491">
        <v>1</v>
      </c>
      <c r="E491">
        <v>5</v>
      </c>
      <c r="F491">
        <v>0</v>
      </c>
      <c r="G491">
        <v>5</v>
      </c>
      <c r="H491">
        <v>1</v>
      </c>
      <c r="I491">
        <v>1</v>
      </c>
      <c r="J491">
        <v>0.62749999999999995</v>
      </c>
      <c r="K491">
        <v>0.59091700000000003</v>
      </c>
      <c r="L491">
        <v>0.73541699999999999</v>
      </c>
      <c r="M491">
        <v>0.162938</v>
      </c>
      <c r="N491">
        <v>1069</v>
      </c>
      <c r="O491">
        <v>5227</v>
      </c>
      <c r="P491">
        <v>6296</v>
      </c>
    </row>
    <row r="492" spans="1:16" x14ac:dyDescent="0.3">
      <c r="A492">
        <v>491</v>
      </c>
      <c r="B492" s="1">
        <v>41034</v>
      </c>
      <c r="C492">
        <v>2</v>
      </c>
      <c r="D492">
        <v>1</v>
      </c>
      <c r="E492">
        <v>5</v>
      </c>
      <c r="F492">
        <v>0</v>
      </c>
      <c r="G492">
        <v>6</v>
      </c>
      <c r="H492">
        <v>0</v>
      </c>
      <c r="I492">
        <v>2</v>
      </c>
      <c r="J492">
        <v>0.62166699999999997</v>
      </c>
      <c r="K492">
        <v>0.58460800000000002</v>
      </c>
      <c r="L492">
        <v>0.75666699999999998</v>
      </c>
      <c r="M492">
        <v>0.15299199999999999</v>
      </c>
      <c r="N492">
        <v>2496</v>
      </c>
      <c r="O492">
        <v>4387</v>
      </c>
      <c r="P492">
        <v>6883</v>
      </c>
    </row>
    <row r="493" spans="1:16" x14ac:dyDescent="0.3">
      <c r="A493">
        <v>492</v>
      </c>
      <c r="B493" s="1">
        <v>41035</v>
      </c>
      <c r="C493">
        <v>2</v>
      </c>
      <c r="D493">
        <v>1</v>
      </c>
      <c r="E493">
        <v>5</v>
      </c>
      <c r="F493">
        <v>0</v>
      </c>
      <c r="G493">
        <v>0</v>
      </c>
      <c r="H493">
        <v>0</v>
      </c>
      <c r="I493">
        <v>2</v>
      </c>
      <c r="J493">
        <v>0.5625</v>
      </c>
      <c r="K493">
        <v>0.54673700000000003</v>
      </c>
      <c r="L493">
        <v>0.74</v>
      </c>
      <c r="M493">
        <v>0.14987900000000001</v>
      </c>
      <c r="N493">
        <v>2135</v>
      </c>
      <c r="O493">
        <v>4224</v>
      </c>
      <c r="P493">
        <v>6359</v>
      </c>
    </row>
    <row r="494" spans="1:16" x14ac:dyDescent="0.3">
      <c r="A494">
        <v>493</v>
      </c>
      <c r="B494" s="1">
        <v>41036</v>
      </c>
      <c r="C494">
        <v>2</v>
      </c>
      <c r="D494">
        <v>1</v>
      </c>
      <c r="E494">
        <v>5</v>
      </c>
      <c r="F494">
        <v>0</v>
      </c>
      <c r="G494">
        <v>1</v>
      </c>
      <c r="H494">
        <v>1</v>
      </c>
      <c r="I494">
        <v>2</v>
      </c>
      <c r="J494">
        <v>0.53749999999999998</v>
      </c>
      <c r="K494">
        <v>0.527142</v>
      </c>
      <c r="L494">
        <v>0.66416699999999995</v>
      </c>
      <c r="M494">
        <v>0.23072100000000001</v>
      </c>
      <c r="N494">
        <v>1008</v>
      </c>
      <c r="O494">
        <v>5265</v>
      </c>
      <c r="P494">
        <v>6273</v>
      </c>
    </row>
    <row r="495" spans="1:16" x14ac:dyDescent="0.3">
      <c r="A495">
        <v>494</v>
      </c>
      <c r="B495" s="1">
        <v>41037</v>
      </c>
      <c r="C495">
        <v>2</v>
      </c>
      <c r="D495">
        <v>1</v>
      </c>
      <c r="E495">
        <v>5</v>
      </c>
      <c r="F495">
        <v>0</v>
      </c>
      <c r="G495">
        <v>2</v>
      </c>
      <c r="H495">
        <v>1</v>
      </c>
      <c r="I495">
        <v>2</v>
      </c>
      <c r="J495">
        <v>0.58166700000000005</v>
      </c>
      <c r="K495">
        <v>0.55747100000000005</v>
      </c>
      <c r="L495">
        <v>0.68583300000000003</v>
      </c>
      <c r="M495">
        <v>0.29602899999999999</v>
      </c>
      <c r="N495">
        <v>738</v>
      </c>
      <c r="O495">
        <v>4990</v>
      </c>
      <c r="P495">
        <v>5728</v>
      </c>
    </row>
    <row r="496" spans="1:16" x14ac:dyDescent="0.3">
      <c r="A496">
        <v>495</v>
      </c>
      <c r="B496" s="1">
        <v>41038</v>
      </c>
      <c r="C496">
        <v>2</v>
      </c>
      <c r="D496">
        <v>1</v>
      </c>
      <c r="E496">
        <v>5</v>
      </c>
      <c r="F496">
        <v>0</v>
      </c>
      <c r="G496">
        <v>3</v>
      </c>
      <c r="H496">
        <v>1</v>
      </c>
      <c r="I496">
        <v>2</v>
      </c>
      <c r="J496">
        <v>0.57499999999999996</v>
      </c>
      <c r="K496">
        <v>0.55302499999999999</v>
      </c>
      <c r="L496">
        <v>0.74416700000000002</v>
      </c>
      <c r="M496">
        <v>0.21641199999999999</v>
      </c>
      <c r="N496">
        <v>620</v>
      </c>
      <c r="O496">
        <v>4097</v>
      </c>
      <c r="P496">
        <v>4717</v>
      </c>
    </row>
    <row r="497" spans="1:16" x14ac:dyDescent="0.3">
      <c r="A497">
        <v>496</v>
      </c>
      <c r="B497" s="1">
        <v>41039</v>
      </c>
      <c r="C497">
        <v>2</v>
      </c>
      <c r="D497">
        <v>1</v>
      </c>
      <c r="E497">
        <v>5</v>
      </c>
      <c r="F497">
        <v>0</v>
      </c>
      <c r="G497">
        <v>4</v>
      </c>
      <c r="H497">
        <v>1</v>
      </c>
      <c r="I497">
        <v>1</v>
      </c>
      <c r="J497">
        <v>0.50583299999999998</v>
      </c>
      <c r="K497">
        <v>0.49178300000000003</v>
      </c>
      <c r="L497">
        <v>0.55208299999999999</v>
      </c>
      <c r="M497">
        <v>0.31406299999999998</v>
      </c>
      <c r="N497">
        <v>1026</v>
      </c>
      <c r="O497">
        <v>5546</v>
      </c>
      <c r="P497">
        <v>6572</v>
      </c>
    </row>
    <row r="498" spans="1:16" x14ac:dyDescent="0.3">
      <c r="A498">
        <v>497</v>
      </c>
      <c r="B498" s="1">
        <v>41040</v>
      </c>
      <c r="C498">
        <v>2</v>
      </c>
      <c r="D498">
        <v>1</v>
      </c>
      <c r="E498">
        <v>5</v>
      </c>
      <c r="F498">
        <v>0</v>
      </c>
      <c r="G498">
        <v>5</v>
      </c>
      <c r="H498">
        <v>1</v>
      </c>
      <c r="I498">
        <v>1</v>
      </c>
      <c r="J498">
        <v>0.53333299999999995</v>
      </c>
      <c r="K498">
        <v>0.52083299999999999</v>
      </c>
      <c r="L498">
        <v>0.36041699999999999</v>
      </c>
      <c r="M498">
        <v>0.23693700000000001</v>
      </c>
      <c r="N498">
        <v>1319</v>
      </c>
      <c r="O498">
        <v>5711</v>
      </c>
      <c r="P498">
        <v>7030</v>
      </c>
    </row>
    <row r="499" spans="1:16" x14ac:dyDescent="0.3">
      <c r="A499">
        <v>498</v>
      </c>
      <c r="B499" s="1">
        <v>41041</v>
      </c>
      <c r="C499">
        <v>2</v>
      </c>
      <c r="D499">
        <v>1</v>
      </c>
      <c r="E499">
        <v>5</v>
      </c>
      <c r="F499">
        <v>0</v>
      </c>
      <c r="G499">
        <v>6</v>
      </c>
      <c r="H499">
        <v>0</v>
      </c>
      <c r="I499">
        <v>1</v>
      </c>
      <c r="J499">
        <v>0.56416699999999997</v>
      </c>
      <c r="K499">
        <v>0.544817</v>
      </c>
      <c r="L499">
        <v>0.48041699999999998</v>
      </c>
      <c r="M499">
        <v>0.12313300000000001</v>
      </c>
      <c r="N499">
        <v>2622</v>
      </c>
      <c r="O499">
        <v>4807</v>
      </c>
      <c r="P499">
        <v>7429</v>
      </c>
    </row>
    <row r="500" spans="1:16" x14ac:dyDescent="0.3">
      <c r="A500">
        <v>499</v>
      </c>
      <c r="B500" s="1">
        <v>41042</v>
      </c>
      <c r="C500">
        <v>2</v>
      </c>
      <c r="D500">
        <v>1</v>
      </c>
      <c r="E500">
        <v>5</v>
      </c>
      <c r="F500">
        <v>0</v>
      </c>
      <c r="G500">
        <v>0</v>
      </c>
      <c r="H500">
        <v>0</v>
      </c>
      <c r="I500">
        <v>1</v>
      </c>
      <c r="J500">
        <v>0.61250000000000004</v>
      </c>
      <c r="K500">
        <v>0.58523800000000004</v>
      </c>
      <c r="L500">
        <v>0.57625000000000004</v>
      </c>
      <c r="M500">
        <v>0.22511700000000001</v>
      </c>
      <c r="N500">
        <v>2172</v>
      </c>
      <c r="O500">
        <v>3946</v>
      </c>
      <c r="P500">
        <v>6118</v>
      </c>
    </row>
    <row r="501" spans="1:16" x14ac:dyDescent="0.3">
      <c r="A501">
        <v>500</v>
      </c>
      <c r="B501" s="1">
        <v>41043</v>
      </c>
      <c r="C501">
        <v>2</v>
      </c>
      <c r="D501">
        <v>1</v>
      </c>
      <c r="E501">
        <v>5</v>
      </c>
      <c r="F501">
        <v>0</v>
      </c>
      <c r="G501">
        <v>1</v>
      </c>
      <c r="H501">
        <v>1</v>
      </c>
      <c r="I501">
        <v>2</v>
      </c>
      <c r="J501">
        <v>0.57333299999999998</v>
      </c>
      <c r="K501">
        <v>0.54990000000000006</v>
      </c>
      <c r="L501">
        <v>0.78958300000000003</v>
      </c>
      <c r="M501">
        <v>0.21269199999999999</v>
      </c>
      <c r="N501">
        <v>342</v>
      </c>
      <c r="O501">
        <v>2501</v>
      </c>
      <c r="P501">
        <v>2843</v>
      </c>
    </row>
    <row r="502" spans="1:16" x14ac:dyDescent="0.3">
      <c r="A502">
        <v>501</v>
      </c>
      <c r="B502" s="1">
        <v>41044</v>
      </c>
      <c r="C502">
        <v>2</v>
      </c>
      <c r="D502">
        <v>1</v>
      </c>
      <c r="E502">
        <v>5</v>
      </c>
      <c r="F502">
        <v>0</v>
      </c>
      <c r="G502">
        <v>2</v>
      </c>
      <c r="H502">
        <v>1</v>
      </c>
      <c r="I502">
        <v>2</v>
      </c>
      <c r="J502">
        <v>0.61166699999999996</v>
      </c>
      <c r="K502">
        <v>0.57640400000000003</v>
      </c>
      <c r="L502">
        <v>0.79458300000000004</v>
      </c>
      <c r="M502">
        <v>0.147392</v>
      </c>
      <c r="N502">
        <v>625</v>
      </c>
      <c r="O502">
        <v>4490</v>
      </c>
      <c r="P502">
        <v>5115</v>
      </c>
    </row>
    <row r="503" spans="1:16" x14ac:dyDescent="0.3">
      <c r="A503">
        <v>502</v>
      </c>
      <c r="B503" s="1">
        <v>41045</v>
      </c>
      <c r="C503">
        <v>2</v>
      </c>
      <c r="D503">
        <v>1</v>
      </c>
      <c r="E503">
        <v>5</v>
      </c>
      <c r="F503">
        <v>0</v>
      </c>
      <c r="G503">
        <v>3</v>
      </c>
      <c r="H503">
        <v>1</v>
      </c>
      <c r="I503">
        <v>1</v>
      </c>
      <c r="J503">
        <v>0.63666699999999998</v>
      </c>
      <c r="K503">
        <v>0.59597500000000003</v>
      </c>
      <c r="L503">
        <v>0.69791700000000001</v>
      </c>
      <c r="M503">
        <v>0.122512</v>
      </c>
      <c r="N503">
        <v>991</v>
      </c>
      <c r="O503">
        <v>6433</v>
      </c>
      <c r="P503">
        <v>7424</v>
      </c>
    </row>
    <row r="504" spans="1:16" x14ac:dyDescent="0.3">
      <c r="A504">
        <v>503</v>
      </c>
      <c r="B504" s="1">
        <v>41046</v>
      </c>
      <c r="C504">
        <v>2</v>
      </c>
      <c r="D504">
        <v>1</v>
      </c>
      <c r="E504">
        <v>5</v>
      </c>
      <c r="F504">
        <v>0</v>
      </c>
      <c r="G504">
        <v>4</v>
      </c>
      <c r="H504">
        <v>1</v>
      </c>
      <c r="I504">
        <v>1</v>
      </c>
      <c r="J504">
        <v>0.593333</v>
      </c>
      <c r="K504">
        <v>0.57261300000000004</v>
      </c>
      <c r="L504">
        <v>0.52</v>
      </c>
      <c r="M504">
        <v>0.22947500000000001</v>
      </c>
      <c r="N504">
        <v>1242</v>
      </c>
      <c r="O504">
        <v>6142</v>
      </c>
      <c r="P504">
        <v>7384</v>
      </c>
    </row>
    <row r="505" spans="1:16" x14ac:dyDescent="0.3">
      <c r="A505">
        <v>504</v>
      </c>
      <c r="B505" s="1">
        <v>41047</v>
      </c>
      <c r="C505">
        <v>2</v>
      </c>
      <c r="D505">
        <v>1</v>
      </c>
      <c r="E505">
        <v>5</v>
      </c>
      <c r="F505">
        <v>0</v>
      </c>
      <c r="G505">
        <v>5</v>
      </c>
      <c r="H505">
        <v>1</v>
      </c>
      <c r="I505">
        <v>1</v>
      </c>
      <c r="J505">
        <v>0.56416699999999997</v>
      </c>
      <c r="K505">
        <v>0.55112099999999997</v>
      </c>
      <c r="L505">
        <v>0.52333300000000005</v>
      </c>
      <c r="M505">
        <v>0.13681699999999999</v>
      </c>
      <c r="N505">
        <v>1521</v>
      </c>
      <c r="O505">
        <v>6118</v>
      </c>
      <c r="P505">
        <v>7639</v>
      </c>
    </row>
    <row r="506" spans="1:16" x14ac:dyDescent="0.3">
      <c r="A506">
        <v>505</v>
      </c>
      <c r="B506" s="1">
        <v>41048</v>
      </c>
      <c r="C506">
        <v>2</v>
      </c>
      <c r="D506">
        <v>1</v>
      </c>
      <c r="E506">
        <v>5</v>
      </c>
      <c r="F506">
        <v>0</v>
      </c>
      <c r="G506">
        <v>6</v>
      </c>
      <c r="H506">
        <v>0</v>
      </c>
      <c r="I506">
        <v>1</v>
      </c>
      <c r="J506">
        <v>0.6</v>
      </c>
      <c r="K506">
        <v>0.56690799999999997</v>
      </c>
      <c r="L506">
        <v>0.45624999999999999</v>
      </c>
      <c r="M506">
        <v>8.3974999999999994E-2</v>
      </c>
      <c r="N506">
        <v>3410</v>
      </c>
      <c r="O506">
        <v>4884</v>
      </c>
      <c r="P506">
        <v>8294</v>
      </c>
    </row>
    <row r="507" spans="1:16" x14ac:dyDescent="0.3">
      <c r="A507">
        <v>506</v>
      </c>
      <c r="B507" s="1">
        <v>41049</v>
      </c>
      <c r="C507">
        <v>2</v>
      </c>
      <c r="D507">
        <v>1</v>
      </c>
      <c r="E507">
        <v>5</v>
      </c>
      <c r="F507">
        <v>0</v>
      </c>
      <c r="G507">
        <v>0</v>
      </c>
      <c r="H507">
        <v>0</v>
      </c>
      <c r="I507">
        <v>1</v>
      </c>
      <c r="J507">
        <v>0.62083299999999997</v>
      </c>
      <c r="K507">
        <v>0.58396700000000001</v>
      </c>
      <c r="L507">
        <v>0.53041700000000003</v>
      </c>
      <c r="M507">
        <v>0.25436700000000001</v>
      </c>
      <c r="N507">
        <v>2704</v>
      </c>
      <c r="O507">
        <v>4425</v>
      </c>
      <c r="P507">
        <v>7129</v>
      </c>
    </row>
    <row r="508" spans="1:16" x14ac:dyDescent="0.3">
      <c r="A508">
        <v>507</v>
      </c>
      <c r="B508" s="1">
        <v>41050</v>
      </c>
      <c r="C508">
        <v>2</v>
      </c>
      <c r="D508">
        <v>1</v>
      </c>
      <c r="E508">
        <v>5</v>
      </c>
      <c r="F508">
        <v>0</v>
      </c>
      <c r="G508">
        <v>1</v>
      </c>
      <c r="H508">
        <v>1</v>
      </c>
      <c r="I508">
        <v>2</v>
      </c>
      <c r="J508">
        <v>0.598333</v>
      </c>
      <c r="K508">
        <v>0.56566700000000003</v>
      </c>
      <c r="L508">
        <v>0.81125000000000003</v>
      </c>
      <c r="M508">
        <v>0.23320399999999999</v>
      </c>
      <c r="N508">
        <v>630</v>
      </c>
      <c r="O508">
        <v>3729</v>
      </c>
      <c r="P508">
        <v>4359</v>
      </c>
    </row>
    <row r="509" spans="1:16" x14ac:dyDescent="0.3">
      <c r="A509">
        <v>508</v>
      </c>
      <c r="B509" s="1">
        <v>41051</v>
      </c>
      <c r="C509">
        <v>2</v>
      </c>
      <c r="D509">
        <v>1</v>
      </c>
      <c r="E509">
        <v>5</v>
      </c>
      <c r="F509">
        <v>0</v>
      </c>
      <c r="G509">
        <v>2</v>
      </c>
      <c r="H509">
        <v>1</v>
      </c>
      <c r="I509">
        <v>2</v>
      </c>
      <c r="J509">
        <v>0.61499999999999999</v>
      </c>
      <c r="K509">
        <v>0.58082500000000004</v>
      </c>
      <c r="L509">
        <v>0.76583299999999999</v>
      </c>
      <c r="M509">
        <v>0.11816699999999999</v>
      </c>
      <c r="N509">
        <v>819</v>
      </c>
      <c r="O509">
        <v>5254</v>
      </c>
      <c r="P509">
        <v>6073</v>
      </c>
    </row>
    <row r="510" spans="1:16" x14ac:dyDescent="0.3">
      <c r="A510">
        <v>509</v>
      </c>
      <c r="B510" s="1">
        <v>41052</v>
      </c>
      <c r="C510">
        <v>2</v>
      </c>
      <c r="D510">
        <v>1</v>
      </c>
      <c r="E510">
        <v>5</v>
      </c>
      <c r="F510">
        <v>0</v>
      </c>
      <c r="G510">
        <v>3</v>
      </c>
      <c r="H510">
        <v>1</v>
      </c>
      <c r="I510">
        <v>2</v>
      </c>
      <c r="J510">
        <v>0.62166699999999997</v>
      </c>
      <c r="K510">
        <v>0.58461200000000002</v>
      </c>
      <c r="L510">
        <v>0.77458300000000002</v>
      </c>
      <c r="M510">
        <v>0.10199999999999999</v>
      </c>
      <c r="N510">
        <v>766</v>
      </c>
      <c r="O510">
        <v>4494</v>
      </c>
      <c r="P510">
        <v>5260</v>
      </c>
    </row>
    <row r="511" spans="1:16" x14ac:dyDescent="0.3">
      <c r="A511">
        <v>510</v>
      </c>
      <c r="B511" s="1">
        <v>41053</v>
      </c>
      <c r="C511">
        <v>2</v>
      </c>
      <c r="D511">
        <v>1</v>
      </c>
      <c r="E511">
        <v>5</v>
      </c>
      <c r="F511">
        <v>0</v>
      </c>
      <c r="G511">
        <v>4</v>
      </c>
      <c r="H511">
        <v>1</v>
      </c>
      <c r="I511">
        <v>1</v>
      </c>
      <c r="J511">
        <v>0.65500000000000003</v>
      </c>
      <c r="K511">
        <v>0.60670000000000002</v>
      </c>
      <c r="L511">
        <v>0.71666700000000005</v>
      </c>
      <c r="M511">
        <v>0.17289599999999999</v>
      </c>
      <c r="N511">
        <v>1059</v>
      </c>
      <c r="O511">
        <v>5711</v>
      </c>
      <c r="P511">
        <v>6770</v>
      </c>
    </row>
    <row r="512" spans="1:16" x14ac:dyDescent="0.3">
      <c r="A512">
        <v>511</v>
      </c>
      <c r="B512" s="1">
        <v>41054</v>
      </c>
      <c r="C512">
        <v>2</v>
      </c>
      <c r="D512">
        <v>1</v>
      </c>
      <c r="E512">
        <v>5</v>
      </c>
      <c r="F512">
        <v>0</v>
      </c>
      <c r="G512">
        <v>5</v>
      </c>
      <c r="H512">
        <v>1</v>
      </c>
      <c r="I512">
        <v>1</v>
      </c>
      <c r="J512">
        <v>0.68</v>
      </c>
      <c r="K512">
        <v>0.627529</v>
      </c>
      <c r="L512">
        <v>0.74708300000000005</v>
      </c>
      <c r="M512">
        <v>0.14055000000000001</v>
      </c>
      <c r="N512">
        <v>1417</v>
      </c>
      <c r="O512">
        <v>5317</v>
      </c>
      <c r="P512">
        <v>6734</v>
      </c>
    </row>
    <row r="513" spans="1:16" x14ac:dyDescent="0.3">
      <c r="A513">
        <v>512</v>
      </c>
      <c r="B513" s="1">
        <v>41055</v>
      </c>
      <c r="C513">
        <v>2</v>
      </c>
      <c r="D513">
        <v>1</v>
      </c>
      <c r="E513">
        <v>5</v>
      </c>
      <c r="F513">
        <v>0</v>
      </c>
      <c r="G513">
        <v>6</v>
      </c>
      <c r="H513">
        <v>0</v>
      </c>
      <c r="I513">
        <v>1</v>
      </c>
      <c r="J513">
        <v>0.6925</v>
      </c>
      <c r="K513">
        <v>0.64269600000000005</v>
      </c>
      <c r="L513">
        <v>0.73250000000000004</v>
      </c>
      <c r="M513">
        <v>0.198992</v>
      </c>
      <c r="N513">
        <v>2855</v>
      </c>
      <c r="O513">
        <v>3681</v>
      </c>
      <c r="P513">
        <v>6536</v>
      </c>
    </row>
    <row r="514" spans="1:16" x14ac:dyDescent="0.3">
      <c r="A514">
        <v>513</v>
      </c>
      <c r="B514" s="1">
        <v>41056</v>
      </c>
      <c r="C514">
        <v>2</v>
      </c>
      <c r="D514">
        <v>1</v>
      </c>
      <c r="E514">
        <v>5</v>
      </c>
      <c r="F514">
        <v>0</v>
      </c>
      <c r="G514">
        <v>0</v>
      </c>
      <c r="H514">
        <v>0</v>
      </c>
      <c r="I514">
        <v>1</v>
      </c>
      <c r="J514">
        <v>0.69</v>
      </c>
      <c r="K514">
        <v>0.64142500000000002</v>
      </c>
      <c r="L514">
        <v>0.69708300000000001</v>
      </c>
      <c r="M514">
        <v>0.215171</v>
      </c>
      <c r="N514">
        <v>3283</v>
      </c>
      <c r="O514">
        <v>3308</v>
      </c>
      <c r="P514">
        <v>6591</v>
      </c>
    </row>
    <row r="515" spans="1:16" x14ac:dyDescent="0.3">
      <c r="A515">
        <v>514</v>
      </c>
      <c r="B515" s="1">
        <v>41057</v>
      </c>
      <c r="C515">
        <v>2</v>
      </c>
      <c r="D515">
        <v>1</v>
      </c>
      <c r="E515">
        <v>5</v>
      </c>
      <c r="F515">
        <v>1</v>
      </c>
      <c r="G515">
        <v>1</v>
      </c>
      <c r="H515">
        <v>0</v>
      </c>
      <c r="I515">
        <v>1</v>
      </c>
      <c r="J515">
        <v>0.71250000000000002</v>
      </c>
      <c r="K515">
        <v>0.67930000000000001</v>
      </c>
      <c r="L515">
        <v>0.67625000000000002</v>
      </c>
      <c r="M515">
        <v>0.196521</v>
      </c>
      <c r="N515">
        <v>2557</v>
      </c>
      <c r="O515">
        <v>3486</v>
      </c>
      <c r="P515">
        <v>6043</v>
      </c>
    </row>
    <row r="516" spans="1:16" x14ac:dyDescent="0.3">
      <c r="A516">
        <v>515</v>
      </c>
      <c r="B516" s="1">
        <v>41058</v>
      </c>
      <c r="C516">
        <v>2</v>
      </c>
      <c r="D516">
        <v>1</v>
      </c>
      <c r="E516">
        <v>5</v>
      </c>
      <c r="F516">
        <v>0</v>
      </c>
      <c r="G516">
        <v>2</v>
      </c>
      <c r="H516">
        <v>1</v>
      </c>
      <c r="I516">
        <v>1</v>
      </c>
      <c r="J516">
        <v>0.72250000000000003</v>
      </c>
      <c r="K516">
        <v>0.67299200000000003</v>
      </c>
      <c r="L516">
        <v>0.68458300000000005</v>
      </c>
      <c r="M516">
        <v>0.2954</v>
      </c>
      <c r="N516">
        <v>880</v>
      </c>
      <c r="O516">
        <v>4863</v>
      </c>
      <c r="P516">
        <v>5743</v>
      </c>
    </row>
    <row r="517" spans="1:16" x14ac:dyDescent="0.3">
      <c r="A517">
        <v>516</v>
      </c>
      <c r="B517" s="1">
        <v>41059</v>
      </c>
      <c r="C517">
        <v>2</v>
      </c>
      <c r="D517">
        <v>1</v>
      </c>
      <c r="E517">
        <v>5</v>
      </c>
      <c r="F517">
        <v>0</v>
      </c>
      <c r="G517">
        <v>3</v>
      </c>
      <c r="H517">
        <v>1</v>
      </c>
      <c r="I517">
        <v>2</v>
      </c>
      <c r="J517">
        <v>0.656667</v>
      </c>
      <c r="K517">
        <v>0.61112900000000003</v>
      </c>
      <c r="L517">
        <v>0.67</v>
      </c>
      <c r="M517">
        <v>0.134329</v>
      </c>
      <c r="N517">
        <v>745</v>
      </c>
      <c r="O517">
        <v>6110</v>
      </c>
      <c r="P517">
        <v>6855</v>
      </c>
    </row>
    <row r="518" spans="1:16" x14ac:dyDescent="0.3">
      <c r="A518">
        <v>517</v>
      </c>
      <c r="B518" s="1">
        <v>41060</v>
      </c>
      <c r="C518">
        <v>2</v>
      </c>
      <c r="D518">
        <v>1</v>
      </c>
      <c r="E518">
        <v>5</v>
      </c>
      <c r="F518">
        <v>0</v>
      </c>
      <c r="G518">
        <v>4</v>
      </c>
      <c r="H518">
        <v>1</v>
      </c>
      <c r="I518">
        <v>1</v>
      </c>
      <c r="J518">
        <v>0.68</v>
      </c>
      <c r="K518">
        <v>0.63132900000000003</v>
      </c>
      <c r="L518">
        <v>0.49291699999999999</v>
      </c>
      <c r="M518">
        <v>0.19527900000000001</v>
      </c>
      <c r="N518">
        <v>1100</v>
      </c>
      <c r="O518">
        <v>6238</v>
      </c>
      <c r="P518">
        <v>7338</v>
      </c>
    </row>
    <row r="519" spans="1:16" x14ac:dyDescent="0.3">
      <c r="A519">
        <v>518</v>
      </c>
      <c r="B519" s="1">
        <v>41061</v>
      </c>
      <c r="C519">
        <v>2</v>
      </c>
      <c r="D519">
        <v>1</v>
      </c>
      <c r="E519">
        <v>6</v>
      </c>
      <c r="F519">
        <v>0</v>
      </c>
      <c r="G519">
        <v>5</v>
      </c>
      <c r="H519">
        <v>1</v>
      </c>
      <c r="I519">
        <v>2</v>
      </c>
      <c r="J519">
        <v>0.65416700000000005</v>
      </c>
      <c r="K519">
        <v>0.607962</v>
      </c>
      <c r="L519">
        <v>0.75541700000000001</v>
      </c>
      <c r="M519">
        <v>0.237563</v>
      </c>
      <c r="N519">
        <v>533</v>
      </c>
      <c r="O519">
        <v>3594</v>
      </c>
      <c r="P519">
        <v>4127</v>
      </c>
    </row>
    <row r="520" spans="1:16" x14ac:dyDescent="0.3">
      <c r="A520">
        <v>519</v>
      </c>
      <c r="B520" s="1">
        <v>41062</v>
      </c>
      <c r="C520">
        <v>2</v>
      </c>
      <c r="D520">
        <v>1</v>
      </c>
      <c r="E520">
        <v>6</v>
      </c>
      <c r="F520">
        <v>0</v>
      </c>
      <c r="G520">
        <v>6</v>
      </c>
      <c r="H520">
        <v>0</v>
      </c>
      <c r="I520">
        <v>1</v>
      </c>
      <c r="J520">
        <v>0.58333299999999999</v>
      </c>
      <c r="K520">
        <v>0.56628800000000001</v>
      </c>
      <c r="L520">
        <v>0.54916699999999996</v>
      </c>
      <c r="M520">
        <v>0.18656200000000001</v>
      </c>
      <c r="N520">
        <v>2795</v>
      </c>
      <c r="O520">
        <v>5325</v>
      </c>
      <c r="P520">
        <v>8120</v>
      </c>
    </row>
    <row r="521" spans="1:16" x14ac:dyDescent="0.3">
      <c r="A521">
        <v>520</v>
      </c>
      <c r="B521" s="1">
        <v>41063</v>
      </c>
      <c r="C521">
        <v>2</v>
      </c>
      <c r="D521">
        <v>1</v>
      </c>
      <c r="E521">
        <v>6</v>
      </c>
      <c r="F521">
        <v>0</v>
      </c>
      <c r="G521">
        <v>0</v>
      </c>
      <c r="H521">
        <v>0</v>
      </c>
      <c r="I521">
        <v>1</v>
      </c>
      <c r="J521">
        <v>0.60250000000000004</v>
      </c>
      <c r="K521">
        <v>0.57513300000000001</v>
      </c>
      <c r="L521">
        <v>0.49333300000000002</v>
      </c>
      <c r="M521">
        <v>0.184087</v>
      </c>
      <c r="N521">
        <v>2494</v>
      </c>
      <c r="O521">
        <v>5147</v>
      </c>
      <c r="P521">
        <v>7641</v>
      </c>
    </row>
    <row r="522" spans="1:16" x14ac:dyDescent="0.3">
      <c r="A522">
        <v>521</v>
      </c>
      <c r="B522" s="1">
        <v>41064</v>
      </c>
      <c r="C522">
        <v>2</v>
      </c>
      <c r="D522">
        <v>1</v>
      </c>
      <c r="E522">
        <v>6</v>
      </c>
      <c r="F522">
        <v>0</v>
      </c>
      <c r="G522">
        <v>1</v>
      </c>
      <c r="H522">
        <v>1</v>
      </c>
      <c r="I522">
        <v>1</v>
      </c>
      <c r="J522">
        <v>0.59750000000000003</v>
      </c>
      <c r="K522">
        <v>0.57828299999999999</v>
      </c>
      <c r="L522">
        <v>0.48708299999999999</v>
      </c>
      <c r="M522">
        <v>0.284833</v>
      </c>
      <c r="N522">
        <v>1071</v>
      </c>
      <c r="O522">
        <v>5927</v>
      </c>
      <c r="P522">
        <v>6998</v>
      </c>
    </row>
    <row r="523" spans="1:16" x14ac:dyDescent="0.3">
      <c r="A523">
        <v>522</v>
      </c>
      <c r="B523" s="1">
        <v>41065</v>
      </c>
      <c r="C523">
        <v>2</v>
      </c>
      <c r="D523">
        <v>1</v>
      </c>
      <c r="E523">
        <v>6</v>
      </c>
      <c r="F523">
        <v>0</v>
      </c>
      <c r="G523">
        <v>2</v>
      </c>
      <c r="H523">
        <v>1</v>
      </c>
      <c r="I523">
        <v>2</v>
      </c>
      <c r="J523">
        <v>0.54083300000000001</v>
      </c>
      <c r="K523">
        <v>0.52589200000000003</v>
      </c>
      <c r="L523">
        <v>0.61333300000000002</v>
      </c>
      <c r="M523">
        <v>0.20957500000000001</v>
      </c>
      <c r="N523">
        <v>968</v>
      </c>
      <c r="O523">
        <v>6033</v>
      </c>
      <c r="P523">
        <v>7001</v>
      </c>
    </row>
    <row r="524" spans="1:16" x14ac:dyDescent="0.3">
      <c r="A524">
        <v>523</v>
      </c>
      <c r="B524" s="1">
        <v>41066</v>
      </c>
      <c r="C524">
        <v>2</v>
      </c>
      <c r="D524">
        <v>1</v>
      </c>
      <c r="E524">
        <v>6</v>
      </c>
      <c r="F524">
        <v>0</v>
      </c>
      <c r="G524">
        <v>3</v>
      </c>
      <c r="H524">
        <v>1</v>
      </c>
      <c r="I524">
        <v>1</v>
      </c>
      <c r="J524">
        <v>0.55416699999999997</v>
      </c>
      <c r="K524">
        <v>0.542292</v>
      </c>
      <c r="L524">
        <v>0.61124999999999996</v>
      </c>
      <c r="M524">
        <v>7.7124999999999999E-2</v>
      </c>
      <c r="N524">
        <v>1027</v>
      </c>
      <c r="O524">
        <v>6028</v>
      </c>
      <c r="P524">
        <v>7055</v>
      </c>
    </row>
    <row r="525" spans="1:16" x14ac:dyDescent="0.3">
      <c r="A525">
        <v>524</v>
      </c>
      <c r="B525" s="1">
        <v>41067</v>
      </c>
      <c r="C525">
        <v>2</v>
      </c>
      <c r="D525">
        <v>1</v>
      </c>
      <c r="E525">
        <v>6</v>
      </c>
      <c r="F525">
        <v>0</v>
      </c>
      <c r="G525">
        <v>4</v>
      </c>
      <c r="H525">
        <v>1</v>
      </c>
      <c r="I525">
        <v>1</v>
      </c>
      <c r="J525">
        <v>0.60250000000000004</v>
      </c>
      <c r="K525">
        <v>0.569442</v>
      </c>
      <c r="L525">
        <v>0.567083</v>
      </c>
      <c r="M525">
        <v>0.15734999999999999</v>
      </c>
      <c r="N525">
        <v>1038</v>
      </c>
      <c r="O525">
        <v>6456</v>
      </c>
      <c r="P525">
        <v>7494</v>
      </c>
    </row>
    <row r="526" spans="1:16" x14ac:dyDescent="0.3">
      <c r="A526">
        <v>525</v>
      </c>
      <c r="B526" s="1">
        <v>41068</v>
      </c>
      <c r="C526">
        <v>2</v>
      </c>
      <c r="D526">
        <v>1</v>
      </c>
      <c r="E526">
        <v>6</v>
      </c>
      <c r="F526">
        <v>0</v>
      </c>
      <c r="G526">
        <v>5</v>
      </c>
      <c r="H526">
        <v>1</v>
      </c>
      <c r="I526">
        <v>1</v>
      </c>
      <c r="J526">
        <v>0.64916700000000005</v>
      </c>
      <c r="K526">
        <v>0.597862</v>
      </c>
      <c r="L526">
        <v>0.46791700000000003</v>
      </c>
      <c r="M526">
        <v>0.17538300000000001</v>
      </c>
      <c r="N526">
        <v>1488</v>
      </c>
      <c r="O526">
        <v>6248</v>
      </c>
      <c r="P526">
        <v>7736</v>
      </c>
    </row>
    <row r="527" spans="1:16" x14ac:dyDescent="0.3">
      <c r="A527">
        <v>526</v>
      </c>
      <c r="B527" s="1">
        <v>41069</v>
      </c>
      <c r="C527">
        <v>2</v>
      </c>
      <c r="D527">
        <v>1</v>
      </c>
      <c r="E527">
        <v>6</v>
      </c>
      <c r="F527">
        <v>0</v>
      </c>
      <c r="G527">
        <v>6</v>
      </c>
      <c r="H527">
        <v>0</v>
      </c>
      <c r="I527">
        <v>1</v>
      </c>
      <c r="J527">
        <v>0.71083300000000005</v>
      </c>
      <c r="K527">
        <v>0.64836700000000003</v>
      </c>
      <c r="L527">
        <v>0.437083</v>
      </c>
      <c r="M527">
        <v>0.144287</v>
      </c>
      <c r="N527">
        <v>2708</v>
      </c>
      <c r="O527">
        <v>4790</v>
      </c>
      <c r="P527">
        <v>7498</v>
      </c>
    </row>
    <row r="528" spans="1:16" x14ac:dyDescent="0.3">
      <c r="A528">
        <v>527</v>
      </c>
      <c r="B528" s="1">
        <v>41070</v>
      </c>
      <c r="C528">
        <v>2</v>
      </c>
      <c r="D528">
        <v>1</v>
      </c>
      <c r="E528">
        <v>6</v>
      </c>
      <c r="F528">
        <v>0</v>
      </c>
      <c r="G528">
        <v>0</v>
      </c>
      <c r="H528">
        <v>0</v>
      </c>
      <c r="I528">
        <v>1</v>
      </c>
      <c r="J528">
        <v>0.72666699999999995</v>
      </c>
      <c r="K528">
        <v>0.66351700000000002</v>
      </c>
      <c r="L528">
        <v>0.53833299999999995</v>
      </c>
      <c r="M528">
        <v>0.13372100000000001</v>
      </c>
      <c r="N528">
        <v>2224</v>
      </c>
      <c r="O528">
        <v>4374</v>
      </c>
      <c r="P528">
        <v>6598</v>
      </c>
    </row>
    <row r="529" spans="1:16" x14ac:dyDescent="0.3">
      <c r="A529">
        <v>528</v>
      </c>
      <c r="B529" s="1">
        <v>41071</v>
      </c>
      <c r="C529">
        <v>2</v>
      </c>
      <c r="D529">
        <v>1</v>
      </c>
      <c r="E529">
        <v>6</v>
      </c>
      <c r="F529">
        <v>0</v>
      </c>
      <c r="G529">
        <v>1</v>
      </c>
      <c r="H529">
        <v>1</v>
      </c>
      <c r="I529">
        <v>2</v>
      </c>
      <c r="J529">
        <v>0.72083299999999995</v>
      </c>
      <c r="K529">
        <v>0.659721</v>
      </c>
      <c r="L529">
        <v>0.58791700000000002</v>
      </c>
      <c r="M529">
        <v>0.20771300000000001</v>
      </c>
      <c r="N529">
        <v>1017</v>
      </c>
      <c r="O529">
        <v>5647</v>
      </c>
      <c r="P529">
        <v>6664</v>
      </c>
    </row>
    <row r="530" spans="1:16" x14ac:dyDescent="0.3">
      <c r="A530">
        <v>529</v>
      </c>
      <c r="B530" s="1">
        <v>41072</v>
      </c>
      <c r="C530">
        <v>2</v>
      </c>
      <c r="D530">
        <v>1</v>
      </c>
      <c r="E530">
        <v>6</v>
      </c>
      <c r="F530">
        <v>0</v>
      </c>
      <c r="G530">
        <v>2</v>
      </c>
      <c r="H530">
        <v>1</v>
      </c>
      <c r="I530">
        <v>2</v>
      </c>
      <c r="J530">
        <v>0.65333300000000005</v>
      </c>
      <c r="K530">
        <v>0.59787500000000005</v>
      </c>
      <c r="L530">
        <v>0.83333299999999999</v>
      </c>
      <c r="M530">
        <v>0.21454599999999999</v>
      </c>
      <c r="N530">
        <v>477</v>
      </c>
      <c r="O530">
        <v>4495</v>
      </c>
      <c r="P530">
        <v>4972</v>
      </c>
    </row>
    <row r="531" spans="1:16" x14ac:dyDescent="0.3">
      <c r="A531">
        <v>530</v>
      </c>
      <c r="B531" s="1">
        <v>41073</v>
      </c>
      <c r="C531">
        <v>2</v>
      </c>
      <c r="D531">
        <v>1</v>
      </c>
      <c r="E531">
        <v>6</v>
      </c>
      <c r="F531">
        <v>0</v>
      </c>
      <c r="G531">
        <v>3</v>
      </c>
      <c r="H531">
        <v>1</v>
      </c>
      <c r="I531">
        <v>1</v>
      </c>
      <c r="J531">
        <v>0.655833</v>
      </c>
      <c r="K531">
        <v>0.61111700000000002</v>
      </c>
      <c r="L531">
        <v>0.58208300000000002</v>
      </c>
      <c r="M531">
        <v>0.343279</v>
      </c>
      <c r="N531">
        <v>1173</v>
      </c>
      <c r="O531">
        <v>6248</v>
      </c>
      <c r="P531">
        <v>7421</v>
      </c>
    </row>
    <row r="532" spans="1:16" x14ac:dyDescent="0.3">
      <c r="A532">
        <v>531</v>
      </c>
      <c r="B532" s="1">
        <v>41074</v>
      </c>
      <c r="C532">
        <v>2</v>
      </c>
      <c r="D532">
        <v>1</v>
      </c>
      <c r="E532">
        <v>6</v>
      </c>
      <c r="F532">
        <v>0</v>
      </c>
      <c r="G532">
        <v>4</v>
      </c>
      <c r="H532">
        <v>1</v>
      </c>
      <c r="I532">
        <v>1</v>
      </c>
      <c r="J532">
        <v>0.64833300000000005</v>
      </c>
      <c r="K532">
        <v>0.62438300000000002</v>
      </c>
      <c r="L532">
        <v>0.56958299999999995</v>
      </c>
      <c r="M532">
        <v>0.25373299999999999</v>
      </c>
      <c r="N532">
        <v>1180</v>
      </c>
      <c r="O532">
        <v>6183</v>
      </c>
      <c r="P532">
        <v>7363</v>
      </c>
    </row>
    <row r="533" spans="1:16" x14ac:dyDescent="0.3">
      <c r="A533">
        <v>532</v>
      </c>
      <c r="B533" s="1">
        <v>41075</v>
      </c>
      <c r="C533">
        <v>2</v>
      </c>
      <c r="D533">
        <v>1</v>
      </c>
      <c r="E533">
        <v>6</v>
      </c>
      <c r="F533">
        <v>0</v>
      </c>
      <c r="G533">
        <v>5</v>
      </c>
      <c r="H533">
        <v>1</v>
      </c>
      <c r="I533">
        <v>1</v>
      </c>
      <c r="J533">
        <v>0.63916700000000004</v>
      </c>
      <c r="K533">
        <v>0.59975400000000001</v>
      </c>
      <c r="L533">
        <v>0.58958299999999997</v>
      </c>
      <c r="M533">
        <v>0.176617</v>
      </c>
      <c r="N533">
        <v>1563</v>
      </c>
      <c r="O533">
        <v>6102</v>
      </c>
      <c r="P533">
        <v>7665</v>
      </c>
    </row>
    <row r="534" spans="1:16" x14ac:dyDescent="0.3">
      <c r="A534">
        <v>533</v>
      </c>
      <c r="B534" s="1">
        <v>41076</v>
      </c>
      <c r="C534">
        <v>2</v>
      </c>
      <c r="D534">
        <v>1</v>
      </c>
      <c r="E534">
        <v>6</v>
      </c>
      <c r="F534">
        <v>0</v>
      </c>
      <c r="G534">
        <v>6</v>
      </c>
      <c r="H534">
        <v>0</v>
      </c>
      <c r="I534">
        <v>1</v>
      </c>
      <c r="J534">
        <v>0.63166699999999998</v>
      </c>
      <c r="K534">
        <v>0.59470800000000001</v>
      </c>
      <c r="L534">
        <v>0.50416700000000003</v>
      </c>
      <c r="M534">
        <v>0.16666700000000001</v>
      </c>
      <c r="N534">
        <v>2963</v>
      </c>
      <c r="O534">
        <v>4739</v>
      </c>
      <c r="P534">
        <v>7702</v>
      </c>
    </row>
    <row r="535" spans="1:16" x14ac:dyDescent="0.3">
      <c r="A535">
        <v>534</v>
      </c>
      <c r="B535" s="1">
        <v>41077</v>
      </c>
      <c r="C535">
        <v>2</v>
      </c>
      <c r="D535">
        <v>1</v>
      </c>
      <c r="E535">
        <v>6</v>
      </c>
      <c r="F535">
        <v>0</v>
      </c>
      <c r="G535">
        <v>0</v>
      </c>
      <c r="H535">
        <v>0</v>
      </c>
      <c r="I535">
        <v>1</v>
      </c>
      <c r="J535">
        <v>0.59250000000000003</v>
      </c>
      <c r="K535">
        <v>0.57197500000000001</v>
      </c>
      <c r="L535">
        <v>0.59875</v>
      </c>
      <c r="M535">
        <v>0.14490400000000001</v>
      </c>
      <c r="N535">
        <v>2634</v>
      </c>
      <c r="O535">
        <v>4344</v>
      </c>
      <c r="P535">
        <v>6978</v>
      </c>
    </row>
    <row r="536" spans="1:16" x14ac:dyDescent="0.3">
      <c r="A536">
        <v>535</v>
      </c>
      <c r="B536" s="1">
        <v>41078</v>
      </c>
      <c r="C536">
        <v>2</v>
      </c>
      <c r="D536">
        <v>1</v>
      </c>
      <c r="E536">
        <v>6</v>
      </c>
      <c r="F536">
        <v>0</v>
      </c>
      <c r="G536">
        <v>1</v>
      </c>
      <c r="H536">
        <v>1</v>
      </c>
      <c r="I536">
        <v>2</v>
      </c>
      <c r="J536">
        <v>0.56833299999999998</v>
      </c>
      <c r="K536">
        <v>0.54484200000000005</v>
      </c>
      <c r="L536">
        <v>0.77791699999999997</v>
      </c>
      <c r="M536">
        <v>0.17474600000000001</v>
      </c>
      <c r="N536">
        <v>653</v>
      </c>
      <c r="O536">
        <v>4446</v>
      </c>
      <c r="P536">
        <v>5099</v>
      </c>
    </row>
    <row r="537" spans="1:16" x14ac:dyDescent="0.3">
      <c r="A537">
        <v>536</v>
      </c>
      <c r="B537" s="1">
        <v>41079</v>
      </c>
      <c r="C537">
        <v>2</v>
      </c>
      <c r="D537">
        <v>1</v>
      </c>
      <c r="E537">
        <v>6</v>
      </c>
      <c r="F537">
        <v>0</v>
      </c>
      <c r="G537">
        <v>2</v>
      </c>
      <c r="H537">
        <v>1</v>
      </c>
      <c r="I537">
        <v>1</v>
      </c>
      <c r="J537">
        <v>0.68833299999999997</v>
      </c>
      <c r="K537">
        <v>0.65469200000000005</v>
      </c>
      <c r="L537">
        <v>0.69</v>
      </c>
      <c r="M537">
        <v>0.14801700000000001</v>
      </c>
      <c r="N537">
        <v>968</v>
      </c>
      <c r="O537">
        <v>5857</v>
      </c>
      <c r="P537">
        <v>6825</v>
      </c>
    </row>
    <row r="538" spans="1:16" x14ac:dyDescent="0.3">
      <c r="A538">
        <v>537</v>
      </c>
      <c r="B538" s="1">
        <v>41080</v>
      </c>
      <c r="C538">
        <v>2</v>
      </c>
      <c r="D538">
        <v>1</v>
      </c>
      <c r="E538">
        <v>6</v>
      </c>
      <c r="F538">
        <v>0</v>
      </c>
      <c r="G538">
        <v>3</v>
      </c>
      <c r="H538">
        <v>1</v>
      </c>
      <c r="I538">
        <v>1</v>
      </c>
      <c r="J538">
        <v>0.78249999999999997</v>
      </c>
      <c r="K538">
        <v>0.72097500000000003</v>
      </c>
      <c r="L538">
        <v>0.59208300000000003</v>
      </c>
      <c r="M538">
        <v>0.113812</v>
      </c>
      <c r="N538">
        <v>872</v>
      </c>
      <c r="O538">
        <v>5339</v>
      </c>
      <c r="P538">
        <v>6211</v>
      </c>
    </row>
    <row r="539" spans="1:16" x14ac:dyDescent="0.3">
      <c r="A539">
        <v>538</v>
      </c>
      <c r="B539" s="1">
        <v>41081</v>
      </c>
      <c r="C539">
        <v>3</v>
      </c>
      <c r="D539">
        <v>1</v>
      </c>
      <c r="E539">
        <v>6</v>
      </c>
      <c r="F539">
        <v>0</v>
      </c>
      <c r="G539">
        <v>4</v>
      </c>
      <c r="H539">
        <v>1</v>
      </c>
      <c r="I539">
        <v>1</v>
      </c>
      <c r="J539">
        <v>0.80583300000000002</v>
      </c>
      <c r="K539">
        <v>0.75254200000000004</v>
      </c>
      <c r="L539">
        <v>0.56791700000000001</v>
      </c>
      <c r="M539">
        <v>0.118787</v>
      </c>
      <c r="N539">
        <v>778</v>
      </c>
      <c r="O539">
        <v>5127</v>
      </c>
      <c r="P539">
        <v>5905</v>
      </c>
    </row>
    <row r="540" spans="1:16" x14ac:dyDescent="0.3">
      <c r="A540">
        <v>539</v>
      </c>
      <c r="B540" s="1">
        <v>41082</v>
      </c>
      <c r="C540">
        <v>3</v>
      </c>
      <c r="D540">
        <v>1</v>
      </c>
      <c r="E540">
        <v>6</v>
      </c>
      <c r="F540">
        <v>0</v>
      </c>
      <c r="G540">
        <v>5</v>
      </c>
      <c r="H540">
        <v>1</v>
      </c>
      <c r="I540">
        <v>1</v>
      </c>
      <c r="J540">
        <v>0.77749999999999997</v>
      </c>
      <c r="K540">
        <v>0.72412100000000001</v>
      </c>
      <c r="L540">
        <v>0.57374999999999998</v>
      </c>
      <c r="M540">
        <v>0.182842</v>
      </c>
      <c r="N540">
        <v>964</v>
      </c>
      <c r="O540">
        <v>4859</v>
      </c>
      <c r="P540">
        <v>5823</v>
      </c>
    </row>
    <row r="541" spans="1:16" x14ac:dyDescent="0.3">
      <c r="A541">
        <v>540</v>
      </c>
      <c r="B541" s="1">
        <v>41083</v>
      </c>
      <c r="C541">
        <v>3</v>
      </c>
      <c r="D541">
        <v>1</v>
      </c>
      <c r="E541">
        <v>6</v>
      </c>
      <c r="F541">
        <v>0</v>
      </c>
      <c r="G541">
        <v>6</v>
      </c>
      <c r="H541">
        <v>0</v>
      </c>
      <c r="I541">
        <v>1</v>
      </c>
      <c r="J541">
        <v>0.73166699999999996</v>
      </c>
      <c r="K541">
        <v>0.65279200000000004</v>
      </c>
      <c r="L541">
        <v>0.53458300000000003</v>
      </c>
      <c r="M541">
        <v>0.17972099999999999</v>
      </c>
      <c r="N541">
        <v>2657</v>
      </c>
      <c r="O541">
        <v>4801</v>
      </c>
      <c r="P541">
        <v>7458</v>
      </c>
    </row>
    <row r="542" spans="1:16" x14ac:dyDescent="0.3">
      <c r="A542">
        <v>541</v>
      </c>
      <c r="B542" s="1">
        <v>41084</v>
      </c>
      <c r="C542">
        <v>3</v>
      </c>
      <c r="D542">
        <v>1</v>
      </c>
      <c r="E542">
        <v>6</v>
      </c>
      <c r="F542">
        <v>0</v>
      </c>
      <c r="G542">
        <v>0</v>
      </c>
      <c r="H542">
        <v>0</v>
      </c>
      <c r="I542">
        <v>1</v>
      </c>
      <c r="J542">
        <v>0.74333300000000002</v>
      </c>
      <c r="K542">
        <v>0.67425400000000002</v>
      </c>
      <c r="L542">
        <v>0.47916700000000001</v>
      </c>
      <c r="M542">
        <v>0.14552499999999999</v>
      </c>
      <c r="N542">
        <v>2551</v>
      </c>
      <c r="O542">
        <v>4340</v>
      </c>
      <c r="P542">
        <v>6891</v>
      </c>
    </row>
    <row r="543" spans="1:16" x14ac:dyDescent="0.3">
      <c r="A543">
        <v>542</v>
      </c>
      <c r="B543" s="1">
        <v>41085</v>
      </c>
      <c r="C543">
        <v>3</v>
      </c>
      <c r="D543">
        <v>1</v>
      </c>
      <c r="E543">
        <v>6</v>
      </c>
      <c r="F543">
        <v>0</v>
      </c>
      <c r="G543">
        <v>1</v>
      </c>
      <c r="H543">
        <v>1</v>
      </c>
      <c r="I543">
        <v>1</v>
      </c>
      <c r="J543">
        <v>0.71583300000000005</v>
      </c>
      <c r="K543">
        <v>0.65404200000000001</v>
      </c>
      <c r="L543">
        <v>0.50416700000000003</v>
      </c>
      <c r="M543">
        <v>0.30038300000000001</v>
      </c>
      <c r="N543">
        <v>1139</v>
      </c>
      <c r="O543">
        <v>5640</v>
      </c>
      <c r="P543">
        <v>6779</v>
      </c>
    </row>
    <row r="544" spans="1:16" x14ac:dyDescent="0.3">
      <c r="A544">
        <v>543</v>
      </c>
      <c r="B544" s="1">
        <v>41086</v>
      </c>
      <c r="C544">
        <v>3</v>
      </c>
      <c r="D544">
        <v>1</v>
      </c>
      <c r="E544">
        <v>6</v>
      </c>
      <c r="F544">
        <v>0</v>
      </c>
      <c r="G544">
        <v>2</v>
      </c>
      <c r="H544">
        <v>1</v>
      </c>
      <c r="I544">
        <v>1</v>
      </c>
      <c r="J544">
        <v>0.63083299999999998</v>
      </c>
      <c r="K544">
        <v>0.59470400000000001</v>
      </c>
      <c r="L544">
        <v>0.37333300000000003</v>
      </c>
      <c r="M544">
        <v>0.34764200000000001</v>
      </c>
      <c r="N544">
        <v>1077</v>
      </c>
      <c r="O544">
        <v>6365</v>
      </c>
      <c r="P544">
        <v>7442</v>
      </c>
    </row>
    <row r="545" spans="1:16" x14ac:dyDescent="0.3">
      <c r="A545">
        <v>544</v>
      </c>
      <c r="B545" s="1">
        <v>41087</v>
      </c>
      <c r="C545">
        <v>3</v>
      </c>
      <c r="D545">
        <v>1</v>
      </c>
      <c r="E545">
        <v>6</v>
      </c>
      <c r="F545">
        <v>0</v>
      </c>
      <c r="G545">
        <v>3</v>
      </c>
      <c r="H545">
        <v>1</v>
      </c>
      <c r="I545">
        <v>1</v>
      </c>
      <c r="J545">
        <v>0.69750000000000001</v>
      </c>
      <c r="K545">
        <v>0.64079200000000003</v>
      </c>
      <c r="L545">
        <v>0.36</v>
      </c>
      <c r="M545">
        <v>0.27177499999999999</v>
      </c>
      <c r="N545">
        <v>1077</v>
      </c>
      <c r="O545">
        <v>6258</v>
      </c>
      <c r="P545">
        <v>7335</v>
      </c>
    </row>
    <row r="546" spans="1:16" x14ac:dyDescent="0.3">
      <c r="A546">
        <v>545</v>
      </c>
      <c r="B546" s="1">
        <v>41088</v>
      </c>
      <c r="C546">
        <v>3</v>
      </c>
      <c r="D546">
        <v>1</v>
      </c>
      <c r="E546">
        <v>6</v>
      </c>
      <c r="F546">
        <v>0</v>
      </c>
      <c r="G546">
        <v>4</v>
      </c>
      <c r="H546">
        <v>1</v>
      </c>
      <c r="I546">
        <v>1</v>
      </c>
      <c r="J546">
        <v>0.74916700000000003</v>
      </c>
      <c r="K546">
        <v>0.675512</v>
      </c>
      <c r="L546">
        <v>0.42249999999999999</v>
      </c>
      <c r="M546">
        <v>0.17165</v>
      </c>
      <c r="N546">
        <v>921</v>
      </c>
      <c r="O546">
        <v>5958</v>
      </c>
      <c r="P546">
        <v>6879</v>
      </c>
    </row>
    <row r="547" spans="1:16" x14ac:dyDescent="0.3">
      <c r="A547">
        <v>546</v>
      </c>
      <c r="B547" s="1">
        <v>41089</v>
      </c>
      <c r="C547">
        <v>3</v>
      </c>
      <c r="D547">
        <v>1</v>
      </c>
      <c r="E547">
        <v>6</v>
      </c>
      <c r="F547">
        <v>0</v>
      </c>
      <c r="G547">
        <v>5</v>
      </c>
      <c r="H547">
        <v>1</v>
      </c>
      <c r="I547">
        <v>1</v>
      </c>
      <c r="J547">
        <v>0.83416699999999999</v>
      </c>
      <c r="K547">
        <v>0.78661300000000001</v>
      </c>
      <c r="L547">
        <v>0.48875000000000002</v>
      </c>
      <c r="M547">
        <v>0.16541700000000001</v>
      </c>
      <c r="N547">
        <v>829</v>
      </c>
      <c r="O547">
        <v>4634</v>
      </c>
      <c r="P547">
        <v>5463</v>
      </c>
    </row>
    <row r="548" spans="1:16" x14ac:dyDescent="0.3">
      <c r="A548">
        <v>547</v>
      </c>
      <c r="B548" s="1">
        <v>41090</v>
      </c>
      <c r="C548">
        <v>3</v>
      </c>
      <c r="D548">
        <v>1</v>
      </c>
      <c r="E548">
        <v>6</v>
      </c>
      <c r="F548">
        <v>0</v>
      </c>
      <c r="G548">
        <v>6</v>
      </c>
      <c r="H548">
        <v>0</v>
      </c>
      <c r="I548">
        <v>1</v>
      </c>
      <c r="J548">
        <v>0.76500000000000001</v>
      </c>
      <c r="K548">
        <v>0.68750800000000001</v>
      </c>
      <c r="L548">
        <v>0.60124999999999995</v>
      </c>
      <c r="M548">
        <v>0.16107099999999999</v>
      </c>
      <c r="N548">
        <v>1455</v>
      </c>
      <c r="O548">
        <v>4232</v>
      </c>
      <c r="P548">
        <v>5687</v>
      </c>
    </row>
    <row r="549" spans="1:16" x14ac:dyDescent="0.3">
      <c r="A549">
        <v>548</v>
      </c>
      <c r="B549" s="1">
        <v>41091</v>
      </c>
      <c r="C549">
        <v>3</v>
      </c>
      <c r="D549">
        <v>1</v>
      </c>
      <c r="E549">
        <v>7</v>
      </c>
      <c r="F549">
        <v>0</v>
      </c>
      <c r="G549">
        <v>0</v>
      </c>
      <c r="H549">
        <v>0</v>
      </c>
      <c r="I549">
        <v>1</v>
      </c>
      <c r="J549">
        <v>0.81583300000000003</v>
      </c>
      <c r="K549">
        <v>0.75062899999999999</v>
      </c>
      <c r="L549">
        <v>0.51875000000000004</v>
      </c>
      <c r="M549">
        <v>0.16852900000000001</v>
      </c>
      <c r="N549">
        <v>1421</v>
      </c>
      <c r="O549">
        <v>4110</v>
      </c>
      <c r="P549">
        <v>5531</v>
      </c>
    </row>
    <row r="550" spans="1:16" x14ac:dyDescent="0.3">
      <c r="A550">
        <v>549</v>
      </c>
      <c r="B550" s="1">
        <v>41092</v>
      </c>
      <c r="C550">
        <v>3</v>
      </c>
      <c r="D550">
        <v>1</v>
      </c>
      <c r="E550">
        <v>7</v>
      </c>
      <c r="F550">
        <v>0</v>
      </c>
      <c r="G550">
        <v>1</v>
      </c>
      <c r="H550">
        <v>1</v>
      </c>
      <c r="I550">
        <v>1</v>
      </c>
      <c r="J550">
        <v>0.781667</v>
      </c>
      <c r="K550">
        <v>0.70203800000000005</v>
      </c>
      <c r="L550">
        <v>0.44708300000000001</v>
      </c>
      <c r="M550">
        <v>0.195267</v>
      </c>
      <c r="N550">
        <v>904</v>
      </c>
      <c r="O550">
        <v>5323</v>
      </c>
      <c r="P550">
        <v>6227</v>
      </c>
    </row>
    <row r="551" spans="1:16" x14ac:dyDescent="0.3">
      <c r="A551">
        <v>550</v>
      </c>
      <c r="B551" s="1">
        <v>41093</v>
      </c>
      <c r="C551">
        <v>3</v>
      </c>
      <c r="D551">
        <v>1</v>
      </c>
      <c r="E551">
        <v>7</v>
      </c>
      <c r="F551">
        <v>0</v>
      </c>
      <c r="G551">
        <v>2</v>
      </c>
      <c r="H551">
        <v>1</v>
      </c>
      <c r="I551">
        <v>1</v>
      </c>
      <c r="J551">
        <v>0.780833</v>
      </c>
      <c r="K551">
        <v>0.70265</v>
      </c>
      <c r="L551">
        <v>0.49208299999999999</v>
      </c>
      <c r="M551">
        <v>0.12623699999999999</v>
      </c>
      <c r="N551">
        <v>1052</v>
      </c>
      <c r="O551">
        <v>5608</v>
      </c>
      <c r="P551">
        <v>6660</v>
      </c>
    </row>
    <row r="552" spans="1:16" x14ac:dyDescent="0.3">
      <c r="A552">
        <v>551</v>
      </c>
      <c r="B552" s="1">
        <v>41094</v>
      </c>
      <c r="C552">
        <v>3</v>
      </c>
      <c r="D552">
        <v>1</v>
      </c>
      <c r="E552">
        <v>7</v>
      </c>
      <c r="F552">
        <v>1</v>
      </c>
      <c r="G552">
        <v>3</v>
      </c>
      <c r="H552">
        <v>0</v>
      </c>
      <c r="I552">
        <v>1</v>
      </c>
      <c r="J552">
        <v>0.78916699999999995</v>
      </c>
      <c r="K552">
        <v>0.73233700000000002</v>
      </c>
      <c r="L552">
        <v>0.53874999999999995</v>
      </c>
      <c r="M552">
        <v>0.13494999999999999</v>
      </c>
      <c r="N552">
        <v>2562</v>
      </c>
      <c r="O552">
        <v>4841</v>
      </c>
      <c r="P552">
        <v>7403</v>
      </c>
    </row>
    <row r="553" spans="1:16" x14ac:dyDescent="0.3">
      <c r="A553">
        <v>552</v>
      </c>
      <c r="B553" s="1">
        <v>41095</v>
      </c>
      <c r="C553">
        <v>3</v>
      </c>
      <c r="D553">
        <v>1</v>
      </c>
      <c r="E553">
        <v>7</v>
      </c>
      <c r="F553">
        <v>0</v>
      </c>
      <c r="G553">
        <v>4</v>
      </c>
      <c r="H553">
        <v>1</v>
      </c>
      <c r="I553">
        <v>1</v>
      </c>
      <c r="J553">
        <v>0.82750000000000001</v>
      </c>
      <c r="K553">
        <v>0.76136700000000002</v>
      </c>
      <c r="L553">
        <v>0.45791700000000002</v>
      </c>
      <c r="M553">
        <v>0.19402900000000001</v>
      </c>
      <c r="N553">
        <v>1405</v>
      </c>
      <c r="O553">
        <v>4836</v>
      </c>
      <c r="P553">
        <v>6241</v>
      </c>
    </row>
    <row r="554" spans="1:16" x14ac:dyDescent="0.3">
      <c r="A554">
        <v>553</v>
      </c>
      <c r="B554" s="1">
        <v>41096</v>
      </c>
      <c r="C554">
        <v>3</v>
      </c>
      <c r="D554">
        <v>1</v>
      </c>
      <c r="E554">
        <v>7</v>
      </c>
      <c r="F554">
        <v>0</v>
      </c>
      <c r="G554">
        <v>5</v>
      </c>
      <c r="H554">
        <v>1</v>
      </c>
      <c r="I554">
        <v>1</v>
      </c>
      <c r="J554">
        <v>0.82833299999999999</v>
      </c>
      <c r="K554">
        <v>0.75253300000000001</v>
      </c>
      <c r="L554">
        <v>0.45083299999999998</v>
      </c>
      <c r="M554">
        <v>0.14614199999999999</v>
      </c>
      <c r="N554">
        <v>1366</v>
      </c>
      <c r="O554">
        <v>4841</v>
      </c>
      <c r="P554">
        <v>6207</v>
      </c>
    </row>
    <row r="555" spans="1:16" x14ac:dyDescent="0.3">
      <c r="A555">
        <v>554</v>
      </c>
      <c r="B555" s="1">
        <v>41097</v>
      </c>
      <c r="C555">
        <v>3</v>
      </c>
      <c r="D555">
        <v>1</v>
      </c>
      <c r="E555">
        <v>7</v>
      </c>
      <c r="F555">
        <v>0</v>
      </c>
      <c r="G555">
        <v>6</v>
      </c>
      <c r="H555">
        <v>0</v>
      </c>
      <c r="I555">
        <v>1</v>
      </c>
      <c r="J555">
        <v>0.86166699999999996</v>
      </c>
      <c r="K555">
        <v>0.80491299999999999</v>
      </c>
      <c r="L555">
        <v>0.49208299999999999</v>
      </c>
      <c r="M555">
        <v>0.163554</v>
      </c>
      <c r="N555">
        <v>1448</v>
      </c>
      <c r="O555">
        <v>3392</v>
      </c>
      <c r="P555">
        <v>4840</v>
      </c>
    </row>
    <row r="556" spans="1:16" x14ac:dyDescent="0.3">
      <c r="A556">
        <v>555</v>
      </c>
      <c r="B556" s="1">
        <v>41098</v>
      </c>
      <c r="C556">
        <v>3</v>
      </c>
      <c r="D556">
        <v>1</v>
      </c>
      <c r="E556">
        <v>7</v>
      </c>
      <c r="F556">
        <v>0</v>
      </c>
      <c r="G556">
        <v>0</v>
      </c>
      <c r="H556">
        <v>0</v>
      </c>
      <c r="I556">
        <v>1</v>
      </c>
      <c r="J556">
        <v>0.82250000000000001</v>
      </c>
      <c r="K556">
        <v>0.79039599999999999</v>
      </c>
      <c r="L556">
        <v>0.57374999999999998</v>
      </c>
      <c r="M556">
        <v>0.12562899999999999</v>
      </c>
      <c r="N556">
        <v>1203</v>
      </c>
      <c r="O556">
        <v>3469</v>
      </c>
      <c r="P556">
        <v>4672</v>
      </c>
    </row>
    <row r="557" spans="1:16" x14ac:dyDescent="0.3">
      <c r="A557">
        <v>556</v>
      </c>
      <c r="B557" s="1">
        <v>41099</v>
      </c>
      <c r="C557">
        <v>3</v>
      </c>
      <c r="D557">
        <v>1</v>
      </c>
      <c r="E557">
        <v>7</v>
      </c>
      <c r="F557">
        <v>0</v>
      </c>
      <c r="G557">
        <v>1</v>
      </c>
      <c r="H557">
        <v>1</v>
      </c>
      <c r="I557">
        <v>2</v>
      </c>
      <c r="J557">
        <v>0.71083300000000005</v>
      </c>
      <c r="K557">
        <v>0.65405400000000002</v>
      </c>
      <c r="L557">
        <v>0.68333299999999997</v>
      </c>
      <c r="M557">
        <v>0.180975</v>
      </c>
      <c r="N557">
        <v>998</v>
      </c>
      <c r="O557">
        <v>5571</v>
      </c>
      <c r="P557">
        <v>6569</v>
      </c>
    </row>
    <row r="558" spans="1:16" x14ac:dyDescent="0.3">
      <c r="A558">
        <v>557</v>
      </c>
      <c r="B558" s="1">
        <v>41100</v>
      </c>
      <c r="C558">
        <v>3</v>
      </c>
      <c r="D558">
        <v>1</v>
      </c>
      <c r="E558">
        <v>7</v>
      </c>
      <c r="F558">
        <v>0</v>
      </c>
      <c r="G558">
        <v>2</v>
      </c>
      <c r="H558">
        <v>1</v>
      </c>
      <c r="I558">
        <v>2</v>
      </c>
      <c r="J558">
        <v>0.72083299999999995</v>
      </c>
      <c r="K558">
        <v>0.66479600000000005</v>
      </c>
      <c r="L558">
        <v>0.66749999999999998</v>
      </c>
      <c r="M558">
        <v>0.15173700000000001</v>
      </c>
      <c r="N558">
        <v>954</v>
      </c>
      <c r="O558">
        <v>5336</v>
      </c>
      <c r="P558">
        <v>6290</v>
      </c>
    </row>
    <row r="559" spans="1:16" x14ac:dyDescent="0.3">
      <c r="A559">
        <v>558</v>
      </c>
      <c r="B559" s="1">
        <v>41101</v>
      </c>
      <c r="C559">
        <v>3</v>
      </c>
      <c r="D559">
        <v>1</v>
      </c>
      <c r="E559">
        <v>7</v>
      </c>
      <c r="F559">
        <v>0</v>
      </c>
      <c r="G559">
        <v>3</v>
      </c>
      <c r="H559">
        <v>1</v>
      </c>
      <c r="I559">
        <v>1</v>
      </c>
      <c r="J559">
        <v>0.71666700000000005</v>
      </c>
      <c r="K559">
        <v>0.65027100000000004</v>
      </c>
      <c r="L559">
        <v>0.63333300000000003</v>
      </c>
      <c r="M559">
        <v>0.15173300000000001</v>
      </c>
      <c r="N559">
        <v>975</v>
      </c>
      <c r="O559">
        <v>6289</v>
      </c>
      <c r="P559">
        <v>7264</v>
      </c>
    </row>
    <row r="560" spans="1:16" x14ac:dyDescent="0.3">
      <c r="A560">
        <v>559</v>
      </c>
      <c r="B560" s="1">
        <v>41102</v>
      </c>
      <c r="C560">
        <v>3</v>
      </c>
      <c r="D560">
        <v>1</v>
      </c>
      <c r="E560">
        <v>7</v>
      </c>
      <c r="F560">
        <v>0</v>
      </c>
      <c r="G560">
        <v>4</v>
      </c>
      <c r="H560">
        <v>1</v>
      </c>
      <c r="I560">
        <v>1</v>
      </c>
      <c r="J560">
        <v>0.71583300000000005</v>
      </c>
      <c r="K560">
        <v>0.65468300000000001</v>
      </c>
      <c r="L560">
        <v>0.52958300000000003</v>
      </c>
      <c r="M560">
        <v>0.14677499999999999</v>
      </c>
      <c r="N560">
        <v>1032</v>
      </c>
      <c r="O560">
        <v>6414</v>
      </c>
      <c r="P560">
        <v>7446</v>
      </c>
    </row>
    <row r="561" spans="1:16" x14ac:dyDescent="0.3">
      <c r="A561">
        <v>560</v>
      </c>
      <c r="B561" s="1">
        <v>41103</v>
      </c>
      <c r="C561">
        <v>3</v>
      </c>
      <c r="D561">
        <v>1</v>
      </c>
      <c r="E561">
        <v>7</v>
      </c>
      <c r="F561">
        <v>0</v>
      </c>
      <c r="G561">
        <v>5</v>
      </c>
      <c r="H561">
        <v>1</v>
      </c>
      <c r="I561">
        <v>2</v>
      </c>
      <c r="J561">
        <v>0.73166699999999996</v>
      </c>
      <c r="K561">
        <v>0.667933</v>
      </c>
      <c r="L561">
        <v>0.48583300000000001</v>
      </c>
      <c r="M561">
        <v>8.0850000000000005E-2</v>
      </c>
      <c r="N561">
        <v>1511</v>
      </c>
      <c r="O561">
        <v>5988</v>
      </c>
      <c r="P561">
        <v>7499</v>
      </c>
    </row>
    <row r="562" spans="1:16" x14ac:dyDescent="0.3">
      <c r="A562">
        <v>561</v>
      </c>
      <c r="B562" s="1">
        <v>41104</v>
      </c>
      <c r="C562">
        <v>3</v>
      </c>
      <c r="D562">
        <v>1</v>
      </c>
      <c r="E562">
        <v>7</v>
      </c>
      <c r="F562">
        <v>0</v>
      </c>
      <c r="G562">
        <v>6</v>
      </c>
      <c r="H562">
        <v>0</v>
      </c>
      <c r="I562">
        <v>2</v>
      </c>
      <c r="J562">
        <v>0.70333299999999999</v>
      </c>
      <c r="K562">
        <v>0.66604200000000002</v>
      </c>
      <c r="L562">
        <v>0.69916699999999998</v>
      </c>
      <c r="M562">
        <v>0.143679</v>
      </c>
      <c r="N562">
        <v>2355</v>
      </c>
      <c r="O562">
        <v>4614</v>
      </c>
      <c r="P562">
        <v>6969</v>
      </c>
    </row>
    <row r="563" spans="1:16" x14ac:dyDescent="0.3">
      <c r="A563">
        <v>562</v>
      </c>
      <c r="B563" s="1">
        <v>41105</v>
      </c>
      <c r="C563">
        <v>3</v>
      </c>
      <c r="D563">
        <v>1</v>
      </c>
      <c r="E563">
        <v>7</v>
      </c>
      <c r="F563">
        <v>0</v>
      </c>
      <c r="G563">
        <v>0</v>
      </c>
      <c r="H563">
        <v>0</v>
      </c>
      <c r="I563">
        <v>1</v>
      </c>
      <c r="J563">
        <v>0.74583299999999997</v>
      </c>
      <c r="K563">
        <v>0.70519600000000005</v>
      </c>
      <c r="L563">
        <v>0.71791700000000003</v>
      </c>
      <c r="M563">
        <v>0.16666700000000001</v>
      </c>
      <c r="N563">
        <v>1920</v>
      </c>
      <c r="O563">
        <v>4111</v>
      </c>
      <c r="P563">
        <v>6031</v>
      </c>
    </row>
    <row r="564" spans="1:16" x14ac:dyDescent="0.3">
      <c r="A564">
        <v>563</v>
      </c>
      <c r="B564" s="1">
        <v>41106</v>
      </c>
      <c r="C564">
        <v>3</v>
      </c>
      <c r="D564">
        <v>1</v>
      </c>
      <c r="E564">
        <v>7</v>
      </c>
      <c r="F564">
        <v>0</v>
      </c>
      <c r="G564">
        <v>1</v>
      </c>
      <c r="H564">
        <v>1</v>
      </c>
      <c r="I564">
        <v>1</v>
      </c>
      <c r="J564">
        <v>0.76333300000000004</v>
      </c>
      <c r="K564">
        <v>0.72412500000000002</v>
      </c>
      <c r="L564">
        <v>0.64500000000000002</v>
      </c>
      <c r="M564">
        <v>0.164187</v>
      </c>
      <c r="N564">
        <v>1088</v>
      </c>
      <c r="O564">
        <v>5742</v>
      </c>
      <c r="P564">
        <v>6830</v>
      </c>
    </row>
    <row r="565" spans="1:16" x14ac:dyDescent="0.3">
      <c r="A565">
        <v>564</v>
      </c>
      <c r="B565" s="1">
        <v>41107</v>
      </c>
      <c r="C565">
        <v>3</v>
      </c>
      <c r="D565">
        <v>1</v>
      </c>
      <c r="E565">
        <v>7</v>
      </c>
      <c r="F565">
        <v>0</v>
      </c>
      <c r="G565">
        <v>2</v>
      </c>
      <c r="H565">
        <v>1</v>
      </c>
      <c r="I565">
        <v>1</v>
      </c>
      <c r="J565">
        <v>0.81833299999999998</v>
      </c>
      <c r="K565">
        <v>0.75568299999999999</v>
      </c>
      <c r="L565">
        <v>0.50583299999999998</v>
      </c>
      <c r="M565">
        <v>0.114429</v>
      </c>
      <c r="N565">
        <v>921</v>
      </c>
      <c r="O565">
        <v>5865</v>
      </c>
      <c r="P565">
        <v>6786</v>
      </c>
    </row>
    <row r="566" spans="1:16" x14ac:dyDescent="0.3">
      <c r="A566">
        <v>565</v>
      </c>
      <c r="B566" s="1">
        <v>41108</v>
      </c>
      <c r="C566">
        <v>3</v>
      </c>
      <c r="D566">
        <v>1</v>
      </c>
      <c r="E566">
        <v>7</v>
      </c>
      <c r="F566">
        <v>0</v>
      </c>
      <c r="G566">
        <v>3</v>
      </c>
      <c r="H566">
        <v>1</v>
      </c>
      <c r="I566">
        <v>1</v>
      </c>
      <c r="J566">
        <v>0.79333299999999995</v>
      </c>
      <c r="K566">
        <v>0.745583</v>
      </c>
      <c r="L566">
        <v>0.57708300000000001</v>
      </c>
      <c r="M566">
        <v>0.13744200000000001</v>
      </c>
      <c r="N566">
        <v>799</v>
      </c>
      <c r="O566">
        <v>4914</v>
      </c>
      <c r="P566">
        <v>5713</v>
      </c>
    </row>
    <row r="567" spans="1:16" x14ac:dyDescent="0.3">
      <c r="A567">
        <v>566</v>
      </c>
      <c r="B567" s="1">
        <v>41109</v>
      </c>
      <c r="C567">
        <v>3</v>
      </c>
      <c r="D567">
        <v>1</v>
      </c>
      <c r="E567">
        <v>7</v>
      </c>
      <c r="F567">
        <v>0</v>
      </c>
      <c r="G567">
        <v>4</v>
      </c>
      <c r="H567">
        <v>1</v>
      </c>
      <c r="I567">
        <v>1</v>
      </c>
      <c r="J567">
        <v>0.77</v>
      </c>
      <c r="K567">
        <v>0.714642</v>
      </c>
      <c r="L567">
        <v>0.60041699999999998</v>
      </c>
      <c r="M567">
        <v>0.16542899999999999</v>
      </c>
      <c r="N567">
        <v>888</v>
      </c>
      <c r="O567">
        <v>5703</v>
      </c>
      <c r="P567">
        <v>6591</v>
      </c>
    </row>
    <row r="568" spans="1:16" x14ac:dyDescent="0.3">
      <c r="A568">
        <v>567</v>
      </c>
      <c r="B568" s="1">
        <v>41110</v>
      </c>
      <c r="C568">
        <v>3</v>
      </c>
      <c r="D568">
        <v>1</v>
      </c>
      <c r="E568">
        <v>7</v>
      </c>
      <c r="F568">
        <v>0</v>
      </c>
      <c r="G568">
        <v>5</v>
      </c>
      <c r="H568">
        <v>1</v>
      </c>
      <c r="I568">
        <v>2</v>
      </c>
      <c r="J568">
        <v>0.66583300000000001</v>
      </c>
      <c r="K568">
        <v>0.61302500000000004</v>
      </c>
      <c r="L568">
        <v>0.844167</v>
      </c>
      <c r="M568">
        <v>0.20896700000000001</v>
      </c>
      <c r="N568">
        <v>747</v>
      </c>
      <c r="O568">
        <v>5123</v>
      </c>
      <c r="P568">
        <v>5870</v>
      </c>
    </row>
    <row r="569" spans="1:16" x14ac:dyDescent="0.3">
      <c r="A569">
        <v>568</v>
      </c>
      <c r="B569" s="1">
        <v>41111</v>
      </c>
      <c r="C569">
        <v>3</v>
      </c>
      <c r="D569">
        <v>1</v>
      </c>
      <c r="E569">
        <v>7</v>
      </c>
      <c r="F569">
        <v>0</v>
      </c>
      <c r="G569">
        <v>6</v>
      </c>
      <c r="H569">
        <v>0</v>
      </c>
      <c r="I569">
        <v>3</v>
      </c>
      <c r="J569">
        <v>0.59583299999999995</v>
      </c>
      <c r="K569">
        <v>0.54991199999999996</v>
      </c>
      <c r="L569">
        <v>0.86541699999999999</v>
      </c>
      <c r="M569">
        <v>0.21329999999999999</v>
      </c>
      <c r="N569">
        <v>1264</v>
      </c>
      <c r="O569">
        <v>3195</v>
      </c>
      <c r="P569">
        <v>4459</v>
      </c>
    </row>
    <row r="570" spans="1:16" x14ac:dyDescent="0.3">
      <c r="A570">
        <v>569</v>
      </c>
      <c r="B570" s="1">
        <v>41112</v>
      </c>
      <c r="C570">
        <v>3</v>
      </c>
      <c r="D570">
        <v>1</v>
      </c>
      <c r="E570">
        <v>7</v>
      </c>
      <c r="F570">
        <v>0</v>
      </c>
      <c r="G570">
        <v>0</v>
      </c>
      <c r="H570">
        <v>0</v>
      </c>
      <c r="I570">
        <v>2</v>
      </c>
      <c r="J570">
        <v>0.66749999999999998</v>
      </c>
      <c r="K570">
        <v>0.62312500000000004</v>
      </c>
      <c r="L570">
        <v>0.76249999999999996</v>
      </c>
      <c r="M570">
        <v>9.3920799999999999E-2</v>
      </c>
      <c r="N570">
        <v>2544</v>
      </c>
      <c r="O570">
        <v>4866</v>
      </c>
      <c r="P570">
        <v>7410</v>
      </c>
    </row>
    <row r="571" spans="1:16" x14ac:dyDescent="0.3">
      <c r="A571">
        <v>570</v>
      </c>
      <c r="B571" s="1">
        <v>41113</v>
      </c>
      <c r="C571">
        <v>3</v>
      </c>
      <c r="D571">
        <v>1</v>
      </c>
      <c r="E571">
        <v>7</v>
      </c>
      <c r="F571">
        <v>0</v>
      </c>
      <c r="G571">
        <v>1</v>
      </c>
      <c r="H571">
        <v>1</v>
      </c>
      <c r="I571">
        <v>1</v>
      </c>
      <c r="J571">
        <v>0.74166699999999997</v>
      </c>
      <c r="K571">
        <v>0.69001699999999999</v>
      </c>
      <c r="L571">
        <v>0.69416699999999998</v>
      </c>
      <c r="M571">
        <v>0.138683</v>
      </c>
      <c r="N571">
        <v>1135</v>
      </c>
      <c r="O571">
        <v>5831</v>
      </c>
      <c r="P571">
        <v>6966</v>
      </c>
    </row>
    <row r="572" spans="1:16" x14ac:dyDescent="0.3">
      <c r="A572">
        <v>571</v>
      </c>
      <c r="B572" s="1">
        <v>41114</v>
      </c>
      <c r="C572">
        <v>3</v>
      </c>
      <c r="D572">
        <v>1</v>
      </c>
      <c r="E572">
        <v>7</v>
      </c>
      <c r="F572">
        <v>0</v>
      </c>
      <c r="G572">
        <v>2</v>
      </c>
      <c r="H572">
        <v>1</v>
      </c>
      <c r="I572">
        <v>1</v>
      </c>
      <c r="J572">
        <v>0.75083299999999997</v>
      </c>
      <c r="K572">
        <v>0.70645000000000002</v>
      </c>
      <c r="L572">
        <v>0.65500000000000003</v>
      </c>
      <c r="M572">
        <v>0.211454</v>
      </c>
      <c r="N572">
        <v>1140</v>
      </c>
      <c r="O572">
        <v>6452</v>
      </c>
      <c r="P572">
        <v>7592</v>
      </c>
    </row>
    <row r="573" spans="1:16" x14ac:dyDescent="0.3">
      <c r="A573">
        <v>572</v>
      </c>
      <c r="B573" s="1">
        <v>41115</v>
      </c>
      <c r="C573">
        <v>3</v>
      </c>
      <c r="D573">
        <v>1</v>
      </c>
      <c r="E573">
        <v>7</v>
      </c>
      <c r="F573">
        <v>0</v>
      </c>
      <c r="G573">
        <v>3</v>
      </c>
      <c r="H573">
        <v>1</v>
      </c>
      <c r="I573">
        <v>1</v>
      </c>
      <c r="J573">
        <v>0.72416700000000001</v>
      </c>
      <c r="K573">
        <v>0.65405400000000002</v>
      </c>
      <c r="L573">
        <v>0.45</v>
      </c>
      <c r="M573">
        <v>0.1648</v>
      </c>
      <c r="N573">
        <v>1383</v>
      </c>
      <c r="O573">
        <v>6790</v>
      </c>
      <c r="P573">
        <v>8173</v>
      </c>
    </row>
    <row r="574" spans="1:16" x14ac:dyDescent="0.3">
      <c r="A574">
        <v>573</v>
      </c>
      <c r="B574" s="1">
        <v>41116</v>
      </c>
      <c r="C574">
        <v>3</v>
      </c>
      <c r="D574">
        <v>1</v>
      </c>
      <c r="E574">
        <v>7</v>
      </c>
      <c r="F574">
        <v>0</v>
      </c>
      <c r="G574">
        <v>4</v>
      </c>
      <c r="H574">
        <v>1</v>
      </c>
      <c r="I574">
        <v>1</v>
      </c>
      <c r="J574">
        <v>0.776667</v>
      </c>
      <c r="K574">
        <v>0.739263</v>
      </c>
      <c r="L574">
        <v>0.59666699999999995</v>
      </c>
      <c r="M574">
        <v>0.28481299999999998</v>
      </c>
      <c r="N574">
        <v>1036</v>
      </c>
      <c r="O574">
        <v>5825</v>
      </c>
      <c r="P574">
        <v>6861</v>
      </c>
    </row>
    <row r="575" spans="1:16" x14ac:dyDescent="0.3">
      <c r="A575">
        <v>574</v>
      </c>
      <c r="B575" s="1">
        <v>41117</v>
      </c>
      <c r="C575">
        <v>3</v>
      </c>
      <c r="D575">
        <v>1</v>
      </c>
      <c r="E575">
        <v>7</v>
      </c>
      <c r="F575">
        <v>0</v>
      </c>
      <c r="G575">
        <v>5</v>
      </c>
      <c r="H575">
        <v>1</v>
      </c>
      <c r="I575">
        <v>1</v>
      </c>
      <c r="J575">
        <v>0.781667</v>
      </c>
      <c r="K575">
        <v>0.73421700000000001</v>
      </c>
      <c r="L575">
        <v>0.59458299999999997</v>
      </c>
      <c r="M575">
        <v>0.15299199999999999</v>
      </c>
      <c r="N575">
        <v>1259</v>
      </c>
      <c r="O575">
        <v>5645</v>
      </c>
      <c r="P575">
        <v>6904</v>
      </c>
    </row>
    <row r="576" spans="1:16" x14ac:dyDescent="0.3">
      <c r="A576">
        <v>575</v>
      </c>
      <c r="B576" s="1">
        <v>41118</v>
      </c>
      <c r="C576">
        <v>3</v>
      </c>
      <c r="D576">
        <v>1</v>
      </c>
      <c r="E576">
        <v>7</v>
      </c>
      <c r="F576">
        <v>0</v>
      </c>
      <c r="G576">
        <v>6</v>
      </c>
      <c r="H576">
        <v>0</v>
      </c>
      <c r="I576">
        <v>1</v>
      </c>
      <c r="J576">
        <v>0.75583299999999998</v>
      </c>
      <c r="K576">
        <v>0.697604</v>
      </c>
      <c r="L576">
        <v>0.61333300000000002</v>
      </c>
      <c r="M576">
        <v>0.15734999999999999</v>
      </c>
      <c r="N576">
        <v>2234</v>
      </c>
      <c r="O576">
        <v>4451</v>
      </c>
      <c r="P576">
        <v>6685</v>
      </c>
    </row>
    <row r="577" spans="1:16" x14ac:dyDescent="0.3">
      <c r="A577">
        <v>576</v>
      </c>
      <c r="B577" s="1">
        <v>41119</v>
      </c>
      <c r="C577">
        <v>3</v>
      </c>
      <c r="D577">
        <v>1</v>
      </c>
      <c r="E577">
        <v>7</v>
      </c>
      <c r="F577">
        <v>0</v>
      </c>
      <c r="G577">
        <v>0</v>
      </c>
      <c r="H577">
        <v>0</v>
      </c>
      <c r="I577">
        <v>1</v>
      </c>
      <c r="J577">
        <v>0.72166699999999995</v>
      </c>
      <c r="K577">
        <v>0.667933</v>
      </c>
      <c r="L577">
        <v>0.62375000000000003</v>
      </c>
      <c r="M577">
        <v>0.17039599999999999</v>
      </c>
      <c r="N577">
        <v>2153</v>
      </c>
      <c r="O577">
        <v>4444</v>
      </c>
      <c r="P577">
        <v>6597</v>
      </c>
    </row>
    <row r="578" spans="1:16" x14ac:dyDescent="0.3">
      <c r="A578">
        <v>577</v>
      </c>
      <c r="B578" s="1">
        <v>41120</v>
      </c>
      <c r="C578">
        <v>3</v>
      </c>
      <c r="D578">
        <v>1</v>
      </c>
      <c r="E578">
        <v>7</v>
      </c>
      <c r="F578">
        <v>0</v>
      </c>
      <c r="G578">
        <v>1</v>
      </c>
      <c r="H578">
        <v>1</v>
      </c>
      <c r="I578">
        <v>1</v>
      </c>
      <c r="J578">
        <v>0.73083299999999995</v>
      </c>
      <c r="K578">
        <v>0.68498700000000001</v>
      </c>
      <c r="L578">
        <v>0.66874999999999996</v>
      </c>
      <c r="M578">
        <v>0.153617</v>
      </c>
      <c r="N578">
        <v>1040</v>
      </c>
      <c r="O578">
        <v>6065</v>
      </c>
      <c r="P578">
        <v>7105</v>
      </c>
    </row>
    <row r="579" spans="1:16" x14ac:dyDescent="0.3">
      <c r="A579">
        <v>578</v>
      </c>
      <c r="B579" s="1">
        <v>41121</v>
      </c>
      <c r="C579">
        <v>3</v>
      </c>
      <c r="D579">
        <v>1</v>
      </c>
      <c r="E579">
        <v>7</v>
      </c>
      <c r="F579">
        <v>0</v>
      </c>
      <c r="G579">
        <v>2</v>
      </c>
      <c r="H579">
        <v>1</v>
      </c>
      <c r="I579">
        <v>1</v>
      </c>
      <c r="J579">
        <v>0.71333299999999999</v>
      </c>
      <c r="K579">
        <v>0.66289600000000004</v>
      </c>
      <c r="L579">
        <v>0.70416699999999999</v>
      </c>
      <c r="M579">
        <v>0.16542499999999999</v>
      </c>
      <c r="N579">
        <v>968</v>
      </c>
      <c r="O579">
        <v>6248</v>
      </c>
      <c r="P579">
        <v>7216</v>
      </c>
    </row>
    <row r="580" spans="1:16" x14ac:dyDescent="0.3">
      <c r="A580">
        <v>579</v>
      </c>
      <c r="B580" s="1">
        <v>41122</v>
      </c>
      <c r="C580">
        <v>3</v>
      </c>
      <c r="D580">
        <v>1</v>
      </c>
      <c r="E580">
        <v>8</v>
      </c>
      <c r="F580">
        <v>0</v>
      </c>
      <c r="G580">
        <v>3</v>
      </c>
      <c r="H580">
        <v>1</v>
      </c>
      <c r="I580">
        <v>1</v>
      </c>
      <c r="J580">
        <v>0.71750000000000003</v>
      </c>
      <c r="K580">
        <v>0.66730800000000001</v>
      </c>
      <c r="L580">
        <v>0.67749999999999999</v>
      </c>
      <c r="M580">
        <v>0.141179</v>
      </c>
      <c r="N580">
        <v>1074</v>
      </c>
      <c r="O580">
        <v>6506</v>
      </c>
      <c r="P580">
        <v>7580</v>
      </c>
    </row>
    <row r="581" spans="1:16" x14ac:dyDescent="0.3">
      <c r="A581">
        <v>580</v>
      </c>
      <c r="B581" s="1">
        <v>41123</v>
      </c>
      <c r="C581">
        <v>3</v>
      </c>
      <c r="D581">
        <v>1</v>
      </c>
      <c r="E581">
        <v>8</v>
      </c>
      <c r="F581">
        <v>0</v>
      </c>
      <c r="G581">
        <v>4</v>
      </c>
      <c r="H581">
        <v>1</v>
      </c>
      <c r="I581">
        <v>1</v>
      </c>
      <c r="J581">
        <v>0.75249999999999995</v>
      </c>
      <c r="K581">
        <v>0.70708800000000005</v>
      </c>
      <c r="L581">
        <v>0.65958300000000003</v>
      </c>
      <c r="M581">
        <v>0.129354</v>
      </c>
      <c r="N581">
        <v>983</v>
      </c>
      <c r="O581">
        <v>6278</v>
      </c>
      <c r="P581">
        <v>7261</v>
      </c>
    </row>
    <row r="582" spans="1:16" x14ac:dyDescent="0.3">
      <c r="A582">
        <v>581</v>
      </c>
      <c r="B582" s="1">
        <v>41124</v>
      </c>
      <c r="C582">
        <v>3</v>
      </c>
      <c r="D582">
        <v>1</v>
      </c>
      <c r="E582">
        <v>8</v>
      </c>
      <c r="F582">
        <v>0</v>
      </c>
      <c r="G582">
        <v>5</v>
      </c>
      <c r="H582">
        <v>1</v>
      </c>
      <c r="I582">
        <v>2</v>
      </c>
      <c r="J582">
        <v>0.76583299999999999</v>
      </c>
      <c r="K582">
        <v>0.72286700000000004</v>
      </c>
      <c r="L582">
        <v>0.64249999999999996</v>
      </c>
      <c r="M582">
        <v>0.21579200000000001</v>
      </c>
      <c r="N582">
        <v>1328</v>
      </c>
      <c r="O582">
        <v>5847</v>
      </c>
      <c r="P582">
        <v>7175</v>
      </c>
    </row>
    <row r="583" spans="1:16" x14ac:dyDescent="0.3">
      <c r="A583">
        <v>582</v>
      </c>
      <c r="B583" s="1">
        <v>41125</v>
      </c>
      <c r="C583">
        <v>3</v>
      </c>
      <c r="D583">
        <v>1</v>
      </c>
      <c r="E583">
        <v>8</v>
      </c>
      <c r="F583">
        <v>0</v>
      </c>
      <c r="G583">
        <v>6</v>
      </c>
      <c r="H583">
        <v>0</v>
      </c>
      <c r="I583">
        <v>1</v>
      </c>
      <c r="J583">
        <v>0.79333299999999995</v>
      </c>
      <c r="K583">
        <v>0.75126700000000002</v>
      </c>
      <c r="L583">
        <v>0.61333300000000002</v>
      </c>
      <c r="M583">
        <v>0.25745800000000002</v>
      </c>
      <c r="N583">
        <v>2345</v>
      </c>
      <c r="O583">
        <v>4479</v>
      </c>
      <c r="P583">
        <v>6824</v>
      </c>
    </row>
    <row r="584" spans="1:16" x14ac:dyDescent="0.3">
      <c r="A584">
        <v>583</v>
      </c>
      <c r="B584" s="1">
        <v>41126</v>
      </c>
      <c r="C584">
        <v>3</v>
      </c>
      <c r="D584">
        <v>1</v>
      </c>
      <c r="E584">
        <v>8</v>
      </c>
      <c r="F584">
        <v>0</v>
      </c>
      <c r="G584">
        <v>0</v>
      </c>
      <c r="H584">
        <v>0</v>
      </c>
      <c r="I584">
        <v>1</v>
      </c>
      <c r="J584">
        <v>0.76916700000000005</v>
      </c>
      <c r="K584">
        <v>0.73107900000000003</v>
      </c>
      <c r="L584">
        <v>0.65249999999999997</v>
      </c>
      <c r="M584">
        <v>0.29042099999999998</v>
      </c>
      <c r="N584">
        <v>1707</v>
      </c>
      <c r="O584">
        <v>3757</v>
      </c>
      <c r="P584">
        <v>5464</v>
      </c>
    </row>
    <row r="585" spans="1:16" x14ac:dyDescent="0.3">
      <c r="A585">
        <v>584</v>
      </c>
      <c r="B585" s="1">
        <v>41127</v>
      </c>
      <c r="C585">
        <v>3</v>
      </c>
      <c r="D585">
        <v>1</v>
      </c>
      <c r="E585">
        <v>8</v>
      </c>
      <c r="F585">
        <v>0</v>
      </c>
      <c r="G585">
        <v>1</v>
      </c>
      <c r="H585">
        <v>1</v>
      </c>
      <c r="I585">
        <v>2</v>
      </c>
      <c r="J585">
        <v>0.75249999999999995</v>
      </c>
      <c r="K585">
        <v>0.71024600000000004</v>
      </c>
      <c r="L585">
        <v>0.65416700000000005</v>
      </c>
      <c r="M585">
        <v>0.129354</v>
      </c>
      <c r="N585">
        <v>1233</v>
      </c>
      <c r="O585">
        <v>5780</v>
      </c>
      <c r="P585">
        <v>7013</v>
      </c>
    </row>
    <row r="586" spans="1:16" x14ac:dyDescent="0.3">
      <c r="A586">
        <v>585</v>
      </c>
      <c r="B586" s="1">
        <v>41128</v>
      </c>
      <c r="C586">
        <v>3</v>
      </c>
      <c r="D586">
        <v>1</v>
      </c>
      <c r="E586">
        <v>8</v>
      </c>
      <c r="F586">
        <v>0</v>
      </c>
      <c r="G586">
        <v>2</v>
      </c>
      <c r="H586">
        <v>1</v>
      </c>
      <c r="I586">
        <v>2</v>
      </c>
      <c r="J586">
        <v>0.73583299999999996</v>
      </c>
      <c r="K586">
        <v>0.69762100000000005</v>
      </c>
      <c r="L586">
        <v>0.70374999999999999</v>
      </c>
      <c r="M586">
        <v>0.116908</v>
      </c>
      <c r="N586">
        <v>1278</v>
      </c>
      <c r="O586">
        <v>5995</v>
      </c>
      <c r="P586">
        <v>7273</v>
      </c>
    </row>
    <row r="587" spans="1:16" x14ac:dyDescent="0.3">
      <c r="A587">
        <v>586</v>
      </c>
      <c r="B587" s="1">
        <v>41129</v>
      </c>
      <c r="C587">
        <v>3</v>
      </c>
      <c r="D587">
        <v>1</v>
      </c>
      <c r="E587">
        <v>8</v>
      </c>
      <c r="F587">
        <v>0</v>
      </c>
      <c r="G587">
        <v>3</v>
      </c>
      <c r="H587">
        <v>1</v>
      </c>
      <c r="I587">
        <v>2</v>
      </c>
      <c r="J587">
        <v>0.75</v>
      </c>
      <c r="K587">
        <v>0.70771700000000004</v>
      </c>
      <c r="L587">
        <v>0.67291699999999999</v>
      </c>
      <c r="M587">
        <v>0.11070000000000001</v>
      </c>
      <c r="N587">
        <v>1263</v>
      </c>
      <c r="O587">
        <v>6271</v>
      </c>
      <c r="P587">
        <v>7534</v>
      </c>
    </row>
    <row r="588" spans="1:16" x14ac:dyDescent="0.3">
      <c r="A588">
        <v>587</v>
      </c>
      <c r="B588" s="1">
        <v>41130</v>
      </c>
      <c r="C588">
        <v>3</v>
      </c>
      <c r="D588">
        <v>1</v>
      </c>
      <c r="E588">
        <v>8</v>
      </c>
      <c r="F588">
        <v>0</v>
      </c>
      <c r="G588">
        <v>4</v>
      </c>
      <c r="H588">
        <v>1</v>
      </c>
      <c r="I588">
        <v>1</v>
      </c>
      <c r="J588">
        <v>0.75583299999999998</v>
      </c>
      <c r="K588">
        <v>0.69950800000000002</v>
      </c>
      <c r="L588">
        <v>0.620417</v>
      </c>
      <c r="M588">
        <v>0.15609999999999999</v>
      </c>
      <c r="N588">
        <v>1196</v>
      </c>
      <c r="O588">
        <v>6090</v>
      </c>
      <c r="P588">
        <v>7286</v>
      </c>
    </row>
    <row r="589" spans="1:16" x14ac:dyDescent="0.3">
      <c r="A589">
        <v>588</v>
      </c>
      <c r="B589" s="1">
        <v>41131</v>
      </c>
      <c r="C589">
        <v>3</v>
      </c>
      <c r="D589">
        <v>1</v>
      </c>
      <c r="E589">
        <v>8</v>
      </c>
      <c r="F589">
        <v>0</v>
      </c>
      <c r="G589">
        <v>5</v>
      </c>
      <c r="H589">
        <v>1</v>
      </c>
      <c r="I589">
        <v>2</v>
      </c>
      <c r="J589">
        <v>0.71583300000000005</v>
      </c>
      <c r="K589">
        <v>0.66794200000000004</v>
      </c>
      <c r="L589">
        <v>0.71583300000000005</v>
      </c>
      <c r="M589">
        <v>0.238813</v>
      </c>
      <c r="N589">
        <v>1065</v>
      </c>
      <c r="O589">
        <v>4721</v>
      </c>
      <c r="P589">
        <v>5786</v>
      </c>
    </row>
    <row r="590" spans="1:16" x14ac:dyDescent="0.3">
      <c r="A590">
        <v>589</v>
      </c>
      <c r="B590" s="1">
        <v>41132</v>
      </c>
      <c r="C590">
        <v>3</v>
      </c>
      <c r="D590">
        <v>1</v>
      </c>
      <c r="E590">
        <v>8</v>
      </c>
      <c r="F590">
        <v>0</v>
      </c>
      <c r="G590">
        <v>6</v>
      </c>
      <c r="H590">
        <v>0</v>
      </c>
      <c r="I590">
        <v>2</v>
      </c>
      <c r="J590">
        <v>0.6925</v>
      </c>
      <c r="K590">
        <v>0.63826700000000003</v>
      </c>
      <c r="L590">
        <v>0.73291700000000004</v>
      </c>
      <c r="M590">
        <v>0.206479</v>
      </c>
      <c r="N590">
        <v>2247</v>
      </c>
      <c r="O590">
        <v>4052</v>
      </c>
      <c r="P590">
        <v>6299</v>
      </c>
    </row>
    <row r="591" spans="1:16" x14ac:dyDescent="0.3">
      <c r="A591">
        <v>590</v>
      </c>
      <c r="B591" s="1">
        <v>41133</v>
      </c>
      <c r="C591">
        <v>3</v>
      </c>
      <c r="D591">
        <v>1</v>
      </c>
      <c r="E591">
        <v>8</v>
      </c>
      <c r="F591">
        <v>0</v>
      </c>
      <c r="G591">
        <v>0</v>
      </c>
      <c r="H591">
        <v>0</v>
      </c>
      <c r="I591">
        <v>1</v>
      </c>
      <c r="J591">
        <v>0.70083300000000004</v>
      </c>
      <c r="K591">
        <v>0.64457900000000001</v>
      </c>
      <c r="L591">
        <v>0.53041700000000003</v>
      </c>
      <c r="M591">
        <v>0.122512</v>
      </c>
      <c r="N591">
        <v>2182</v>
      </c>
      <c r="O591">
        <v>4362</v>
      </c>
      <c r="P591">
        <v>6544</v>
      </c>
    </row>
    <row r="592" spans="1:16" x14ac:dyDescent="0.3">
      <c r="A592">
        <v>591</v>
      </c>
      <c r="B592" s="1">
        <v>41134</v>
      </c>
      <c r="C592">
        <v>3</v>
      </c>
      <c r="D592">
        <v>1</v>
      </c>
      <c r="E592">
        <v>8</v>
      </c>
      <c r="F592">
        <v>0</v>
      </c>
      <c r="G592">
        <v>1</v>
      </c>
      <c r="H592">
        <v>1</v>
      </c>
      <c r="I592">
        <v>1</v>
      </c>
      <c r="J592">
        <v>0.72083299999999995</v>
      </c>
      <c r="K592">
        <v>0.66225400000000001</v>
      </c>
      <c r="L592">
        <v>0.54541700000000004</v>
      </c>
      <c r="M592">
        <v>0.136212</v>
      </c>
      <c r="N592">
        <v>1207</v>
      </c>
      <c r="O592">
        <v>5676</v>
      </c>
      <c r="P592">
        <v>6883</v>
      </c>
    </row>
    <row r="593" spans="1:16" x14ac:dyDescent="0.3">
      <c r="A593">
        <v>592</v>
      </c>
      <c r="B593" s="1">
        <v>41135</v>
      </c>
      <c r="C593">
        <v>3</v>
      </c>
      <c r="D593">
        <v>1</v>
      </c>
      <c r="E593">
        <v>8</v>
      </c>
      <c r="F593">
        <v>0</v>
      </c>
      <c r="G593">
        <v>2</v>
      </c>
      <c r="H593">
        <v>1</v>
      </c>
      <c r="I593">
        <v>1</v>
      </c>
      <c r="J593">
        <v>0.72666699999999995</v>
      </c>
      <c r="K593">
        <v>0.67677900000000002</v>
      </c>
      <c r="L593">
        <v>0.68666700000000003</v>
      </c>
      <c r="M593">
        <v>0.169158</v>
      </c>
      <c r="N593">
        <v>1128</v>
      </c>
      <c r="O593">
        <v>5656</v>
      </c>
      <c r="P593">
        <v>6784</v>
      </c>
    </row>
    <row r="594" spans="1:16" x14ac:dyDescent="0.3">
      <c r="A594">
        <v>593</v>
      </c>
      <c r="B594" s="1">
        <v>41136</v>
      </c>
      <c r="C594">
        <v>3</v>
      </c>
      <c r="D594">
        <v>1</v>
      </c>
      <c r="E594">
        <v>8</v>
      </c>
      <c r="F594">
        <v>0</v>
      </c>
      <c r="G594">
        <v>3</v>
      </c>
      <c r="H594">
        <v>1</v>
      </c>
      <c r="I594">
        <v>1</v>
      </c>
      <c r="J594">
        <v>0.70666700000000005</v>
      </c>
      <c r="K594">
        <v>0.65403699999999998</v>
      </c>
      <c r="L594">
        <v>0.61958299999999999</v>
      </c>
      <c r="M594">
        <v>0.16977100000000001</v>
      </c>
      <c r="N594">
        <v>1198</v>
      </c>
      <c r="O594">
        <v>6149</v>
      </c>
      <c r="P594">
        <v>7347</v>
      </c>
    </row>
    <row r="595" spans="1:16" x14ac:dyDescent="0.3">
      <c r="A595">
        <v>594</v>
      </c>
      <c r="B595" s="1">
        <v>41137</v>
      </c>
      <c r="C595">
        <v>3</v>
      </c>
      <c r="D595">
        <v>1</v>
      </c>
      <c r="E595">
        <v>8</v>
      </c>
      <c r="F595">
        <v>0</v>
      </c>
      <c r="G595">
        <v>4</v>
      </c>
      <c r="H595">
        <v>1</v>
      </c>
      <c r="I595">
        <v>1</v>
      </c>
      <c r="J595">
        <v>0.719167</v>
      </c>
      <c r="K595">
        <v>0.65468800000000005</v>
      </c>
      <c r="L595">
        <v>0.51916700000000005</v>
      </c>
      <c r="M595">
        <v>0.14179600000000001</v>
      </c>
      <c r="N595">
        <v>1338</v>
      </c>
      <c r="O595">
        <v>6267</v>
      </c>
      <c r="P595">
        <v>7605</v>
      </c>
    </row>
    <row r="596" spans="1:16" x14ac:dyDescent="0.3">
      <c r="A596">
        <v>595</v>
      </c>
      <c r="B596" s="1">
        <v>41138</v>
      </c>
      <c r="C596">
        <v>3</v>
      </c>
      <c r="D596">
        <v>1</v>
      </c>
      <c r="E596">
        <v>8</v>
      </c>
      <c r="F596">
        <v>0</v>
      </c>
      <c r="G596">
        <v>5</v>
      </c>
      <c r="H596">
        <v>1</v>
      </c>
      <c r="I596">
        <v>1</v>
      </c>
      <c r="J596">
        <v>0.723333</v>
      </c>
      <c r="K596">
        <v>0.2424</v>
      </c>
      <c r="L596">
        <v>0.57083300000000003</v>
      </c>
      <c r="M596">
        <v>0.231354</v>
      </c>
      <c r="N596">
        <v>1483</v>
      </c>
      <c r="O596">
        <v>5665</v>
      </c>
      <c r="P596">
        <v>7148</v>
      </c>
    </row>
    <row r="597" spans="1:16" x14ac:dyDescent="0.3">
      <c r="A597">
        <v>596</v>
      </c>
      <c r="B597" s="1">
        <v>41139</v>
      </c>
      <c r="C597">
        <v>3</v>
      </c>
      <c r="D597">
        <v>1</v>
      </c>
      <c r="E597">
        <v>8</v>
      </c>
      <c r="F597">
        <v>0</v>
      </c>
      <c r="G597">
        <v>6</v>
      </c>
      <c r="H597">
        <v>0</v>
      </c>
      <c r="I597">
        <v>1</v>
      </c>
      <c r="J597">
        <v>0.67833299999999996</v>
      </c>
      <c r="K597">
        <v>0.61807100000000004</v>
      </c>
      <c r="L597">
        <v>0.60333300000000001</v>
      </c>
      <c r="M597">
        <v>0.177867</v>
      </c>
      <c r="N597">
        <v>2827</v>
      </c>
      <c r="O597">
        <v>5038</v>
      </c>
      <c r="P597">
        <v>7865</v>
      </c>
    </row>
    <row r="598" spans="1:16" x14ac:dyDescent="0.3">
      <c r="A598">
        <v>597</v>
      </c>
      <c r="B598" s="1">
        <v>41140</v>
      </c>
      <c r="C598">
        <v>3</v>
      </c>
      <c r="D598">
        <v>1</v>
      </c>
      <c r="E598">
        <v>8</v>
      </c>
      <c r="F598">
        <v>0</v>
      </c>
      <c r="G598">
        <v>0</v>
      </c>
      <c r="H598">
        <v>0</v>
      </c>
      <c r="I598">
        <v>2</v>
      </c>
      <c r="J598">
        <v>0.63583299999999998</v>
      </c>
      <c r="K598">
        <v>0.60355400000000003</v>
      </c>
      <c r="L598">
        <v>0.71166700000000005</v>
      </c>
      <c r="M598">
        <v>8.6449999999999999E-2</v>
      </c>
      <c r="N598">
        <v>1208</v>
      </c>
      <c r="O598">
        <v>3341</v>
      </c>
      <c r="P598">
        <v>4549</v>
      </c>
    </row>
    <row r="599" spans="1:16" x14ac:dyDescent="0.3">
      <c r="A599">
        <v>598</v>
      </c>
      <c r="B599" s="1">
        <v>41141</v>
      </c>
      <c r="C599">
        <v>3</v>
      </c>
      <c r="D599">
        <v>1</v>
      </c>
      <c r="E599">
        <v>8</v>
      </c>
      <c r="F599">
        <v>0</v>
      </c>
      <c r="G599">
        <v>1</v>
      </c>
      <c r="H599">
        <v>1</v>
      </c>
      <c r="I599">
        <v>2</v>
      </c>
      <c r="J599">
        <v>0.63583299999999998</v>
      </c>
      <c r="K599">
        <v>0.59596700000000002</v>
      </c>
      <c r="L599">
        <v>0.73416700000000001</v>
      </c>
      <c r="M599">
        <v>0.12997900000000001</v>
      </c>
      <c r="N599">
        <v>1026</v>
      </c>
      <c r="O599">
        <v>5504</v>
      </c>
      <c r="P599">
        <v>6530</v>
      </c>
    </row>
    <row r="600" spans="1:16" x14ac:dyDescent="0.3">
      <c r="A600">
        <v>599</v>
      </c>
      <c r="B600" s="1">
        <v>41142</v>
      </c>
      <c r="C600">
        <v>3</v>
      </c>
      <c r="D600">
        <v>1</v>
      </c>
      <c r="E600">
        <v>8</v>
      </c>
      <c r="F600">
        <v>0</v>
      </c>
      <c r="G600">
        <v>2</v>
      </c>
      <c r="H600">
        <v>1</v>
      </c>
      <c r="I600">
        <v>1</v>
      </c>
      <c r="J600">
        <v>0.64916700000000005</v>
      </c>
      <c r="K600">
        <v>0.60102500000000003</v>
      </c>
      <c r="L600">
        <v>0.67374999999999996</v>
      </c>
      <c r="M600">
        <v>7.2770799999999997E-2</v>
      </c>
      <c r="N600">
        <v>1081</v>
      </c>
      <c r="O600">
        <v>5925</v>
      </c>
      <c r="P600">
        <v>7006</v>
      </c>
    </row>
    <row r="601" spans="1:16" x14ac:dyDescent="0.3">
      <c r="A601">
        <v>600</v>
      </c>
      <c r="B601" s="1">
        <v>41143</v>
      </c>
      <c r="C601">
        <v>3</v>
      </c>
      <c r="D601">
        <v>1</v>
      </c>
      <c r="E601">
        <v>8</v>
      </c>
      <c r="F601">
        <v>0</v>
      </c>
      <c r="G601">
        <v>3</v>
      </c>
      <c r="H601">
        <v>1</v>
      </c>
      <c r="I601">
        <v>1</v>
      </c>
      <c r="J601">
        <v>0.66749999999999998</v>
      </c>
      <c r="K601">
        <v>0.62185400000000002</v>
      </c>
      <c r="L601">
        <v>0.67708299999999999</v>
      </c>
      <c r="M601">
        <v>7.0283300000000007E-2</v>
      </c>
      <c r="N601">
        <v>1094</v>
      </c>
      <c r="O601">
        <v>6281</v>
      </c>
      <c r="P601">
        <v>7375</v>
      </c>
    </row>
    <row r="602" spans="1:16" x14ac:dyDescent="0.3">
      <c r="A602">
        <v>601</v>
      </c>
      <c r="B602" s="1">
        <v>41144</v>
      </c>
      <c r="C602">
        <v>3</v>
      </c>
      <c r="D602">
        <v>1</v>
      </c>
      <c r="E602">
        <v>8</v>
      </c>
      <c r="F602">
        <v>0</v>
      </c>
      <c r="G602">
        <v>4</v>
      </c>
      <c r="H602">
        <v>1</v>
      </c>
      <c r="I602">
        <v>1</v>
      </c>
      <c r="J602">
        <v>0.69583300000000003</v>
      </c>
      <c r="K602">
        <v>0.63700800000000002</v>
      </c>
      <c r="L602">
        <v>0.63583299999999998</v>
      </c>
      <c r="M602">
        <v>8.4595799999999999E-2</v>
      </c>
      <c r="N602">
        <v>1363</v>
      </c>
      <c r="O602">
        <v>6402</v>
      </c>
      <c r="P602">
        <v>7765</v>
      </c>
    </row>
    <row r="603" spans="1:16" x14ac:dyDescent="0.3">
      <c r="A603">
        <v>602</v>
      </c>
      <c r="B603" s="1">
        <v>41145</v>
      </c>
      <c r="C603">
        <v>3</v>
      </c>
      <c r="D603">
        <v>1</v>
      </c>
      <c r="E603">
        <v>8</v>
      </c>
      <c r="F603">
        <v>0</v>
      </c>
      <c r="G603">
        <v>5</v>
      </c>
      <c r="H603">
        <v>1</v>
      </c>
      <c r="I603">
        <v>2</v>
      </c>
      <c r="J603">
        <v>0.70250000000000001</v>
      </c>
      <c r="K603">
        <v>0.64710000000000001</v>
      </c>
      <c r="L603">
        <v>0.61499999999999999</v>
      </c>
      <c r="M603">
        <v>7.2145799999999996E-2</v>
      </c>
      <c r="N603">
        <v>1325</v>
      </c>
      <c r="O603">
        <v>6257</v>
      </c>
      <c r="P603">
        <v>7582</v>
      </c>
    </row>
    <row r="604" spans="1:16" x14ac:dyDescent="0.3">
      <c r="A604">
        <v>603</v>
      </c>
      <c r="B604" s="1">
        <v>41146</v>
      </c>
      <c r="C604">
        <v>3</v>
      </c>
      <c r="D604">
        <v>1</v>
      </c>
      <c r="E604">
        <v>8</v>
      </c>
      <c r="F604">
        <v>0</v>
      </c>
      <c r="G604">
        <v>6</v>
      </c>
      <c r="H604">
        <v>0</v>
      </c>
      <c r="I604">
        <v>2</v>
      </c>
      <c r="J604">
        <v>0.66166700000000001</v>
      </c>
      <c r="K604">
        <v>0.61869600000000002</v>
      </c>
      <c r="L604">
        <v>0.71291700000000002</v>
      </c>
      <c r="M604">
        <v>0.24440799999999999</v>
      </c>
      <c r="N604">
        <v>1829</v>
      </c>
      <c r="O604">
        <v>4224</v>
      </c>
      <c r="P604">
        <v>6053</v>
      </c>
    </row>
    <row r="605" spans="1:16" x14ac:dyDescent="0.3">
      <c r="A605">
        <v>604</v>
      </c>
      <c r="B605" s="1">
        <v>41147</v>
      </c>
      <c r="C605">
        <v>3</v>
      </c>
      <c r="D605">
        <v>1</v>
      </c>
      <c r="E605">
        <v>8</v>
      </c>
      <c r="F605">
        <v>0</v>
      </c>
      <c r="G605">
        <v>0</v>
      </c>
      <c r="H605">
        <v>0</v>
      </c>
      <c r="I605">
        <v>2</v>
      </c>
      <c r="J605">
        <v>0.65333300000000005</v>
      </c>
      <c r="K605">
        <v>0.59599599999999997</v>
      </c>
      <c r="L605">
        <v>0.84583299999999995</v>
      </c>
      <c r="M605">
        <v>0.22885800000000001</v>
      </c>
      <c r="N605">
        <v>1483</v>
      </c>
      <c r="O605">
        <v>3772</v>
      </c>
      <c r="P605">
        <v>5255</v>
      </c>
    </row>
    <row r="606" spans="1:16" x14ac:dyDescent="0.3">
      <c r="A606">
        <v>605</v>
      </c>
      <c r="B606" s="1">
        <v>41148</v>
      </c>
      <c r="C606">
        <v>3</v>
      </c>
      <c r="D606">
        <v>1</v>
      </c>
      <c r="E606">
        <v>8</v>
      </c>
      <c r="F606">
        <v>0</v>
      </c>
      <c r="G606">
        <v>1</v>
      </c>
      <c r="H606">
        <v>1</v>
      </c>
      <c r="I606">
        <v>1</v>
      </c>
      <c r="J606">
        <v>0.70333299999999999</v>
      </c>
      <c r="K606">
        <v>0.65468800000000005</v>
      </c>
      <c r="L606">
        <v>0.73041699999999998</v>
      </c>
      <c r="M606">
        <v>0.12873299999999999</v>
      </c>
      <c r="N606">
        <v>989</v>
      </c>
      <c r="O606">
        <v>5928</v>
      </c>
      <c r="P606">
        <v>6917</v>
      </c>
    </row>
    <row r="607" spans="1:16" x14ac:dyDescent="0.3">
      <c r="A607">
        <v>606</v>
      </c>
      <c r="B607" s="1">
        <v>41149</v>
      </c>
      <c r="C607">
        <v>3</v>
      </c>
      <c r="D607">
        <v>1</v>
      </c>
      <c r="E607">
        <v>8</v>
      </c>
      <c r="F607">
        <v>0</v>
      </c>
      <c r="G607">
        <v>2</v>
      </c>
      <c r="H607">
        <v>1</v>
      </c>
      <c r="I607">
        <v>1</v>
      </c>
      <c r="J607">
        <v>0.72833300000000001</v>
      </c>
      <c r="K607">
        <v>0.66605000000000003</v>
      </c>
      <c r="L607">
        <v>0.62</v>
      </c>
      <c r="M607">
        <v>0.19092500000000001</v>
      </c>
      <c r="N607">
        <v>935</v>
      </c>
      <c r="O607">
        <v>6105</v>
      </c>
      <c r="P607">
        <v>7040</v>
      </c>
    </row>
    <row r="608" spans="1:16" x14ac:dyDescent="0.3">
      <c r="A608">
        <v>607</v>
      </c>
      <c r="B608" s="1">
        <v>41150</v>
      </c>
      <c r="C608">
        <v>3</v>
      </c>
      <c r="D608">
        <v>1</v>
      </c>
      <c r="E608">
        <v>8</v>
      </c>
      <c r="F608">
        <v>0</v>
      </c>
      <c r="G608">
        <v>3</v>
      </c>
      <c r="H608">
        <v>1</v>
      </c>
      <c r="I608">
        <v>1</v>
      </c>
      <c r="J608">
        <v>0.68500000000000005</v>
      </c>
      <c r="K608">
        <v>0.63573299999999999</v>
      </c>
      <c r="L608">
        <v>0.55208299999999999</v>
      </c>
      <c r="M608">
        <v>0.112562</v>
      </c>
      <c r="N608">
        <v>1177</v>
      </c>
      <c r="O608">
        <v>6520</v>
      </c>
      <c r="P608">
        <v>7697</v>
      </c>
    </row>
    <row r="609" spans="1:16" x14ac:dyDescent="0.3">
      <c r="A609">
        <v>608</v>
      </c>
      <c r="B609" s="1">
        <v>41151</v>
      </c>
      <c r="C609">
        <v>3</v>
      </c>
      <c r="D609">
        <v>1</v>
      </c>
      <c r="E609">
        <v>8</v>
      </c>
      <c r="F609">
        <v>0</v>
      </c>
      <c r="G609">
        <v>4</v>
      </c>
      <c r="H609">
        <v>1</v>
      </c>
      <c r="I609">
        <v>1</v>
      </c>
      <c r="J609">
        <v>0.70666700000000005</v>
      </c>
      <c r="K609">
        <v>0.652779</v>
      </c>
      <c r="L609">
        <v>0.59041699999999997</v>
      </c>
      <c r="M609">
        <v>7.7116699999999996E-2</v>
      </c>
      <c r="N609">
        <v>1172</v>
      </c>
      <c r="O609">
        <v>6541</v>
      </c>
      <c r="P609">
        <v>7713</v>
      </c>
    </row>
    <row r="610" spans="1:16" x14ac:dyDescent="0.3">
      <c r="A610">
        <v>609</v>
      </c>
      <c r="B610" s="1">
        <v>41152</v>
      </c>
      <c r="C610">
        <v>3</v>
      </c>
      <c r="D610">
        <v>1</v>
      </c>
      <c r="E610">
        <v>8</v>
      </c>
      <c r="F610">
        <v>0</v>
      </c>
      <c r="G610">
        <v>5</v>
      </c>
      <c r="H610">
        <v>1</v>
      </c>
      <c r="I610">
        <v>1</v>
      </c>
      <c r="J610">
        <v>0.76416700000000004</v>
      </c>
      <c r="K610">
        <v>0.68940000000000001</v>
      </c>
      <c r="L610">
        <v>0.58750000000000002</v>
      </c>
      <c r="M610">
        <v>0.16853299999999999</v>
      </c>
      <c r="N610">
        <v>1433</v>
      </c>
      <c r="O610">
        <v>5917</v>
      </c>
      <c r="P610">
        <v>7350</v>
      </c>
    </row>
    <row r="611" spans="1:16" x14ac:dyDescent="0.3">
      <c r="A611">
        <v>610</v>
      </c>
      <c r="B611" s="1">
        <v>41153</v>
      </c>
      <c r="C611">
        <v>3</v>
      </c>
      <c r="D611">
        <v>1</v>
      </c>
      <c r="E611">
        <v>9</v>
      </c>
      <c r="F611">
        <v>0</v>
      </c>
      <c r="G611">
        <v>6</v>
      </c>
      <c r="H611">
        <v>0</v>
      </c>
      <c r="I611">
        <v>2</v>
      </c>
      <c r="J611">
        <v>0.75333300000000003</v>
      </c>
      <c r="K611">
        <v>0.702654</v>
      </c>
      <c r="L611">
        <v>0.63833300000000004</v>
      </c>
      <c r="M611">
        <v>0.113187</v>
      </c>
      <c r="N611">
        <v>2352</v>
      </c>
      <c r="O611">
        <v>3788</v>
      </c>
      <c r="P611">
        <v>6140</v>
      </c>
    </row>
    <row r="612" spans="1:16" x14ac:dyDescent="0.3">
      <c r="A612">
        <v>611</v>
      </c>
      <c r="B612" s="1">
        <v>41154</v>
      </c>
      <c r="C612">
        <v>3</v>
      </c>
      <c r="D612">
        <v>1</v>
      </c>
      <c r="E612">
        <v>9</v>
      </c>
      <c r="F612">
        <v>0</v>
      </c>
      <c r="G612">
        <v>0</v>
      </c>
      <c r="H612">
        <v>0</v>
      </c>
      <c r="I612">
        <v>2</v>
      </c>
      <c r="J612">
        <v>0.69666700000000004</v>
      </c>
      <c r="K612">
        <v>0.64900000000000002</v>
      </c>
      <c r="L612">
        <v>0.81499999999999995</v>
      </c>
      <c r="M612">
        <v>6.4070799999999997E-2</v>
      </c>
      <c r="N612">
        <v>2613</v>
      </c>
      <c r="O612">
        <v>3197</v>
      </c>
      <c r="P612">
        <v>5810</v>
      </c>
    </row>
    <row r="613" spans="1:16" x14ac:dyDescent="0.3">
      <c r="A613">
        <v>612</v>
      </c>
      <c r="B613" s="1">
        <v>41155</v>
      </c>
      <c r="C613">
        <v>3</v>
      </c>
      <c r="D613">
        <v>1</v>
      </c>
      <c r="E613">
        <v>9</v>
      </c>
      <c r="F613">
        <v>1</v>
      </c>
      <c r="G613">
        <v>1</v>
      </c>
      <c r="H613">
        <v>0</v>
      </c>
      <c r="I613">
        <v>1</v>
      </c>
      <c r="J613">
        <v>0.70750000000000002</v>
      </c>
      <c r="K613">
        <v>0.66162900000000002</v>
      </c>
      <c r="L613">
        <v>0.79083300000000001</v>
      </c>
      <c r="M613">
        <v>0.15112100000000001</v>
      </c>
      <c r="N613">
        <v>1965</v>
      </c>
      <c r="O613">
        <v>4069</v>
      </c>
      <c r="P613">
        <v>6034</v>
      </c>
    </row>
    <row r="614" spans="1:16" x14ac:dyDescent="0.3">
      <c r="A614">
        <v>613</v>
      </c>
      <c r="B614" s="1">
        <v>41156</v>
      </c>
      <c r="C614">
        <v>3</v>
      </c>
      <c r="D614">
        <v>1</v>
      </c>
      <c r="E614">
        <v>9</v>
      </c>
      <c r="F614">
        <v>0</v>
      </c>
      <c r="G614">
        <v>2</v>
      </c>
      <c r="H614">
        <v>1</v>
      </c>
      <c r="I614">
        <v>1</v>
      </c>
      <c r="J614">
        <v>0.72583299999999995</v>
      </c>
      <c r="K614">
        <v>0.68688800000000005</v>
      </c>
      <c r="L614">
        <v>0.755</v>
      </c>
      <c r="M614">
        <v>0.236321</v>
      </c>
      <c r="N614">
        <v>867</v>
      </c>
      <c r="O614">
        <v>5997</v>
      </c>
      <c r="P614">
        <v>6864</v>
      </c>
    </row>
    <row r="615" spans="1:16" x14ac:dyDescent="0.3">
      <c r="A615">
        <v>614</v>
      </c>
      <c r="B615" s="1">
        <v>41157</v>
      </c>
      <c r="C615">
        <v>3</v>
      </c>
      <c r="D615">
        <v>1</v>
      </c>
      <c r="E615">
        <v>9</v>
      </c>
      <c r="F615">
        <v>0</v>
      </c>
      <c r="G615">
        <v>3</v>
      </c>
      <c r="H615">
        <v>1</v>
      </c>
      <c r="I615">
        <v>1</v>
      </c>
      <c r="J615">
        <v>0.73666699999999996</v>
      </c>
      <c r="K615">
        <v>0.70898300000000003</v>
      </c>
      <c r="L615">
        <v>0.74124999999999996</v>
      </c>
      <c r="M615">
        <v>0.187808</v>
      </c>
      <c r="N615">
        <v>832</v>
      </c>
      <c r="O615">
        <v>6280</v>
      </c>
      <c r="P615">
        <v>7112</v>
      </c>
    </row>
    <row r="616" spans="1:16" x14ac:dyDescent="0.3">
      <c r="A616">
        <v>615</v>
      </c>
      <c r="B616" s="1">
        <v>41158</v>
      </c>
      <c r="C616">
        <v>3</v>
      </c>
      <c r="D616">
        <v>1</v>
      </c>
      <c r="E616">
        <v>9</v>
      </c>
      <c r="F616">
        <v>0</v>
      </c>
      <c r="G616">
        <v>4</v>
      </c>
      <c r="H616">
        <v>1</v>
      </c>
      <c r="I616">
        <v>2</v>
      </c>
      <c r="J616">
        <v>0.69666700000000004</v>
      </c>
      <c r="K616">
        <v>0.65532900000000005</v>
      </c>
      <c r="L616">
        <v>0.81041700000000005</v>
      </c>
      <c r="M616">
        <v>0.14242099999999999</v>
      </c>
      <c r="N616">
        <v>611</v>
      </c>
      <c r="O616">
        <v>5592</v>
      </c>
      <c r="P616">
        <v>6203</v>
      </c>
    </row>
    <row r="617" spans="1:16" x14ac:dyDescent="0.3">
      <c r="A617">
        <v>616</v>
      </c>
      <c r="B617" s="1">
        <v>41159</v>
      </c>
      <c r="C617">
        <v>3</v>
      </c>
      <c r="D617">
        <v>1</v>
      </c>
      <c r="E617">
        <v>9</v>
      </c>
      <c r="F617">
        <v>0</v>
      </c>
      <c r="G617">
        <v>5</v>
      </c>
      <c r="H617">
        <v>1</v>
      </c>
      <c r="I617">
        <v>1</v>
      </c>
      <c r="J617">
        <v>0.70333299999999999</v>
      </c>
      <c r="K617">
        <v>0.65720400000000001</v>
      </c>
      <c r="L617">
        <v>0.73624999999999996</v>
      </c>
      <c r="M617">
        <v>0.17164599999999999</v>
      </c>
      <c r="N617">
        <v>1045</v>
      </c>
      <c r="O617">
        <v>6459</v>
      </c>
      <c r="P617">
        <v>7504</v>
      </c>
    </row>
    <row r="618" spans="1:16" x14ac:dyDescent="0.3">
      <c r="A618">
        <v>617</v>
      </c>
      <c r="B618" s="1">
        <v>41160</v>
      </c>
      <c r="C618">
        <v>3</v>
      </c>
      <c r="D618">
        <v>1</v>
      </c>
      <c r="E618">
        <v>9</v>
      </c>
      <c r="F618">
        <v>0</v>
      </c>
      <c r="G618">
        <v>6</v>
      </c>
      <c r="H618">
        <v>0</v>
      </c>
      <c r="I618">
        <v>2</v>
      </c>
      <c r="J618">
        <v>0.65916699999999995</v>
      </c>
      <c r="K618">
        <v>0.61112100000000003</v>
      </c>
      <c r="L618">
        <v>0.79916699999999996</v>
      </c>
      <c r="M618">
        <v>0.28110400000000002</v>
      </c>
      <c r="N618">
        <v>1557</v>
      </c>
      <c r="O618">
        <v>4419</v>
      </c>
      <c r="P618">
        <v>5976</v>
      </c>
    </row>
    <row r="619" spans="1:16" x14ac:dyDescent="0.3">
      <c r="A619">
        <v>618</v>
      </c>
      <c r="B619" s="1">
        <v>41161</v>
      </c>
      <c r="C619">
        <v>3</v>
      </c>
      <c r="D619">
        <v>1</v>
      </c>
      <c r="E619">
        <v>9</v>
      </c>
      <c r="F619">
        <v>0</v>
      </c>
      <c r="G619">
        <v>0</v>
      </c>
      <c r="H619">
        <v>0</v>
      </c>
      <c r="I619">
        <v>1</v>
      </c>
      <c r="J619">
        <v>0.61</v>
      </c>
      <c r="K619">
        <v>0.57892500000000002</v>
      </c>
      <c r="L619">
        <v>0.54749999999999999</v>
      </c>
      <c r="M619">
        <v>0.224496</v>
      </c>
      <c r="N619">
        <v>2570</v>
      </c>
      <c r="O619">
        <v>5657</v>
      </c>
      <c r="P619">
        <v>8227</v>
      </c>
    </row>
    <row r="620" spans="1:16" x14ac:dyDescent="0.3">
      <c r="A620">
        <v>619</v>
      </c>
      <c r="B620" s="1">
        <v>41162</v>
      </c>
      <c r="C620">
        <v>3</v>
      </c>
      <c r="D620">
        <v>1</v>
      </c>
      <c r="E620">
        <v>9</v>
      </c>
      <c r="F620">
        <v>0</v>
      </c>
      <c r="G620">
        <v>1</v>
      </c>
      <c r="H620">
        <v>1</v>
      </c>
      <c r="I620">
        <v>1</v>
      </c>
      <c r="J620">
        <v>0.58333299999999999</v>
      </c>
      <c r="K620">
        <v>0.56565399999999999</v>
      </c>
      <c r="L620">
        <v>0.50375000000000003</v>
      </c>
      <c r="M620">
        <v>0.25871300000000003</v>
      </c>
      <c r="N620">
        <v>1118</v>
      </c>
      <c r="O620">
        <v>6407</v>
      </c>
      <c r="P620">
        <v>7525</v>
      </c>
    </row>
    <row r="621" spans="1:16" x14ac:dyDescent="0.3">
      <c r="A621">
        <v>620</v>
      </c>
      <c r="B621" s="1">
        <v>41163</v>
      </c>
      <c r="C621">
        <v>3</v>
      </c>
      <c r="D621">
        <v>1</v>
      </c>
      <c r="E621">
        <v>9</v>
      </c>
      <c r="F621">
        <v>0</v>
      </c>
      <c r="G621">
        <v>2</v>
      </c>
      <c r="H621">
        <v>1</v>
      </c>
      <c r="I621">
        <v>1</v>
      </c>
      <c r="J621">
        <v>0.57750000000000001</v>
      </c>
      <c r="K621">
        <v>0.55429200000000001</v>
      </c>
      <c r="L621">
        <v>0.52</v>
      </c>
      <c r="M621">
        <v>9.2054200000000003E-2</v>
      </c>
      <c r="N621">
        <v>1070</v>
      </c>
      <c r="O621">
        <v>6697</v>
      </c>
      <c r="P621">
        <v>7767</v>
      </c>
    </row>
    <row r="622" spans="1:16" x14ac:dyDescent="0.3">
      <c r="A622">
        <v>621</v>
      </c>
      <c r="B622" s="1">
        <v>41164</v>
      </c>
      <c r="C622">
        <v>3</v>
      </c>
      <c r="D622">
        <v>1</v>
      </c>
      <c r="E622">
        <v>9</v>
      </c>
      <c r="F622">
        <v>0</v>
      </c>
      <c r="G622">
        <v>3</v>
      </c>
      <c r="H622">
        <v>1</v>
      </c>
      <c r="I622">
        <v>1</v>
      </c>
      <c r="J622">
        <v>0.59916700000000001</v>
      </c>
      <c r="K622">
        <v>0.570075</v>
      </c>
      <c r="L622">
        <v>0.57708300000000001</v>
      </c>
      <c r="M622">
        <v>0.13184599999999999</v>
      </c>
      <c r="N622">
        <v>1050</v>
      </c>
      <c r="O622">
        <v>6820</v>
      </c>
      <c r="P622">
        <v>7870</v>
      </c>
    </row>
    <row r="623" spans="1:16" x14ac:dyDescent="0.3">
      <c r="A623">
        <v>622</v>
      </c>
      <c r="B623" s="1">
        <v>41165</v>
      </c>
      <c r="C623">
        <v>3</v>
      </c>
      <c r="D623">
        <v>1</v>
      </c>
      <c r="E623">
        <v>9</v>
      </c>
      <c r="F623">
        <v>0</v>
      </c>
      <c r="G623">
        <v>4</v>
      </c>
      <c r="H623">
        <v>1</v>
      </c>
      <c r="I623">
        <v>1</v>
      </c>
      <c r="J623">
        <v>0.61250000000000004</v>
      </c>
      <c r="K623">
        <v>0.57955800000000002</v>
      </c>
      <c r="L623">
        <v>0.63708299999999995</v>
      </c>
      <c r="M623">
        <v>8.2720799999999997E-2</v>
      </c>
      <c r="N623">
        <v>1054</v>
      </c>
      <c r="O623">
        <v>6750</v>
      </c>
      <c r="P623">
        <v>7804</v>
      </c>
    </row>
    <row r="624" spans="1:16" x14ac:dyDescent="0.3">
      <c r="A624">
        <v>623</v>
      </c>
      <c r="B624" s="1">
        <v>41166</v>
      </c>
      <c r="C624">
        <v>3</v>
      </c>
      <c r="D624">
        <v>1</v>
      </c>
      <c r="E624">
        <v>9</v>
      </c>
      <c r="F624">
        <v>0</v>
      </c>
      <c r="G624">
        <v>5</v>
      </c>
      <c r="H624">
        <v>1</v>
      </c>
      <c r="I624">
        <v>1</v>
      </c>
      <c r="J624">
        <v>0.63333300000000003</v>
      </c>
      <c r="K624">
        <v>0.59408300000000003</v>
      </c>
      <c r="L624">
        <v>0.67249999999999999</v>
      </c>
      <c r="M624">
        <v>0.103863</v>
      </c>
      <c r="N624">
        <v>1379</v>
      </c>
      <c r="O624">
        <v>6630</v>
      </c>
      <c r="P624">
        <v>8009</v>
      </c>
    </row>
    <row r="625" spans="1:16" x14ac:dyDescent="0.3">
      <c r="A625">
        <v>624</v>
      </c>
      <c r="B625" s="1">
        <v>41167</v>
      </c>
      <c r="C625">
        <v>3</v>
      </c>
      <c r="D625">
        <v>1</v>
      </c>
      <c r="E625">
        <v>9</v>
      </c>
      <c r="F625">
        <v>0</v>
      </c>
      <c r="G625">
        <v>6</v>
      </c>
      <c r="H625">
        <v>0</v>
      </c>
      <c r="I625">
        <v>1</v>
      </c>
      <c r="J625">
        <v>0.60833300000000001</v>
      </c>
      <c r="K625">
        <v>0.58586700000000003</v>
      </c>
      <c r="L625">
        <v>0.50166699999999997</v>
      </c>
      <c r="M625">
        <v>0.24752099999999999</v>
      </c>
      <c r="N625">
        <v>3160</v>
      </c>
      <c r="O625">
        <v>5554</v>
      </c>
      <c r="P625">
        <v>8714</v>
      </c>
    </row>
    <row r="626" spans="1:16" x14ac:dyDescent="0.3">
      <c r="A626">
        <v>625</v>
      </c>
      <c r="B626" s="1">
        <v>41168</v>
      </c>
      <c r="C626">
        <v>3</v>
      </c>
      <c r="D626">
        <v>1</v>
      </c>
      <c r="E626">
        <v>9</v>
      </c>
      <c r="F626">
        <v>0</v>
      </c>
      <c r="G626">
        <v>0</v>
      </c>
      <c r="H626">
        <v>0</v>
      </c>
      <c r="I626">
        <v>1</v>
      </c>
      <c r="J626">
        <v>0.57999999999999996</v>
      </c>
      <c r="K626">
        <v>0.56312499999999999</v>
      </c>
      <c r="L626">
        <v>0.56999999999999995</v>
      </c>
      <c r="M626">
        <v>9.0183299999999994E-2</v>
      </c>
      <c r="N626">
        <v>2166</v>
      </c>
      <c r="O626">
        <v>5167</v>
      </c>
      <c r="P626">
        <v>7333</v>
      </c>
    </row>
    <row r="627" spans="1:16" x14ac:dyDescent="0.3">
      <c r="A627">
        <v>626</v>
      </c>
      <c r="B627" s="1">
        <v>41169</v>
      </c>
      <c r="C627">
        <v>3</v>
      </c>
      <c r="D627">
        <v>1</v>
      </c>
      <c r="E627">
        <v>9</v>
      </c>
      <c r="F627">
        <v>0</v>
      </c>
      <c r="G627">
        <v>1</v>
      </c>
      <c r="H627">
        <v>1</v>
      </c>
      <c r="I627">
        <v>2</v>
      </c>
      <c r="J627">
        <v>0.58083300000000004</v>
      </c>
      <c r="K627">
        <v>0.55305000000000004</v>
      </c>
      <c r="L627">
        <v>0.73458299999999999</v>
      </c>
      <c r="M627">
        <v>0.15174199999999999</v>
      </c>
      <c r="N627">
        <v>1022</v>
      </c>
      <c r="O627">
        <v>5847</v>
      </c>
      <c r="P627">
        <v>6869</v>
      </c>
    </row>
    <row r="628" spans="1:16" x14ac:dyDescent="0.3">
      <c r="A628">
        <v>627</v>
      </c>
      <c r="B628" s="1">
        <v>41170</v>
      </c>
      <c r="C628">
        <v>3</v>
      </c>
      <c r="D628">
        <v>1</v>
      </c>
      <c r="E628">
        <v>9</v>
      </c>
      <c r="F628">
        <v>0</v>
      </c>
      <c r="G628">
        <v>2</v>
      </c>
      <c r="H628">
        <v>1</v>
      </c>
      <c r="I628">
        <v>2</v>
      </c>
      <c r="J628">
        <v>0.62333300000000003</v>
      </c>
      <c r="K628">
        <v>0.56506699999999999</v>
      </c>
      <c r="L628">
        <v>0.87250000000000005</v>
      </c>
      <c r="M628">
        <v>0.35758699999999999</v>
      </c>
      <c r="N628">
        <v>371</v>
      </c>
      <c r="O628">
        <v>3702</v>
      </c>
      <c r="P628">
        <v>4073</v>
      </c>
    </row>
    <row r="629" spans="1:16" x14ac:dyDescent="0.3">
      <c r="A629">
        <v>628</v>
      </c>
      <c r="B629" s="1">
        <v>41171</v>
      </c>
      <c r="C629">
        <v>3</v>
      </c>
      <c r="D629">
        <v>1</v>
      </c>
      <c r="E629">
        <v>9</v>
      </c>
      <c r="F629">
        <v>0</v>
      </c>
      <c r="G629">
        <v>3</v>
      </c>
      <c r="H629">
        <v>1</v>
      </c>
      <c r="I629">
        <v>1</v>
      </c>
      <c r="J629">
        <v>0.55249999999999999</v>
      </c>
      <c r="K629">
        <v>0.540404</v>
      </c>
      <c r="L629">
        <v>0.53666700000000001</v>
      </c>
      <c r="M629">
        <v>0.21517500000000001</v>
      </c>
      <c r="N629">
        <v>788</v>
      </c>
      <c r="O629">
        <v>6803</v>
      </c>
      <c r="P629">
        <v>7591</v>
      </c>
    </row>
    <row r="630" spans="1:16" x14ac:dyDescent="0.3">
      <c r="A630">
        <v>629</v>
      </c>
      <c r="B630" s="1">
        <v>41172</v>
      </c>
      <c r="C630">
        <v>3</v>
      </c>
      <c r="D630">
        <v>1</v>
      </c>
      <c r="E630">
        <v>9</v>
      </c>
      <c r="F630">
        <v>0</v>
      </c>
      <c r="G630">
        <v>4</v>
      </c>
      <c r="H630">
        <v>1</v>
      </c>
      <c r="I630">
        <v>1</v>
      </c>
      <c r="J630">
        <v>0.54666700000000001</v>
      </c>
      <c r="K630">
        <v>0.532192</v>
      </c>
      <c r="L630">
        <v>0.61833300000000002</v>
      </c>
      <c r="M630">
        <v>0.11816699999999999</v>
      </c>
      <c r="N630">
        <v>939</v>
      </c>
      <c r="O630">
        <v>6781</v>
      </c>
      <c r="P630">
        <v>7720</v>
      </c>
    </row>
    <row r="631" spans="1:16" x14ac:dyDescent="0.3">
      <c r="A631">
        <v>630</v>
      </c>
      <c r="B631" s="1">
        <v>41173</v>
      </c>
      <c r="C631">
        <v>3</v>
      </c>
      <c r="D631">
        <v>1</v>
      </c>
      <c r="E631">
        <v>9</v>
      </c>
      <c r="F631">
        <v>0</v>
      </c>
      <c r="G631">
        <v>5</v>
      </c>
      <c r="H631">
        <v>1</v>
      </c>
      <c r="I631">
        <v>1</v>
      </c>
      <c r="J631">
        <v>0.59916700000000001</v>
      </c>
      <c r="K631">
        <v>0.57197100000000001</v>
      </c>
      <c r="L631">
        <v>0.66874999999999996</v>
      </c>
      <c r="M631">
        <v>0.154229</v>
      </c>
      <c r="N631">
        <v>1250</v>
      </c>
      <c r="O631">
        <v>6917</v>
      </c>
      <c r="P631">
        <v>8167</v>
      </c>
    </row>
    <row r="632" spans="1:16" x14ac:dyDescent="0.3">
      <c r="A632">
        <v>631</v>
      </c>
      <c r="B632" s="1">
        <v>41174</v>
      </c>
      <c r="C632">
        <v>3</v>
      </c>
      <c r="D632">
        <v>1</v>
      </c>
      <c r="E632">
        <v>9</v>
      </c>
      <c r="F632">
        <v>0</v>
      </c>
      <c r="G632">
        <v>6</v>
      </c>
      <c r="H632">
        <v>0</v>
      </c>
      <c r="I632">
        <v>1</v>
      </c>
      <c r="J632">
        <v>0.65</v>
      </c>
      <c r="K632">
        <v>0.61048800000000003</v>
      </c>
      <c r="L632">
        <v>0.64666699999999999</v>
      </c>
      <c r="M632">
        <v>0.28358299999999997</v>
      </c>
      <c r="N632">
        <v>2512</v>
      </c>
      <c r="O632">
        <v>5883</v>
      </c>
      <c r="P632">
        <v>8395</v>
      </c>
    </row>
    <row r="633" spans="1:16" x14ac:dyDescent="0.3">
      <c r="A633">
        <v>632</v>
      </c>
      <c r="B633" s="1">
        <v>41175</v>
      </c>
      <c r="C633">
        <v>4</v>
      </c>
      <c r="D633">
        <v>1</v>
      </c>
      <c r="E633">
        <v>9</v>
      </c>
      <c r="F633">
        <v>0</v>
      </c>
      <c r="G633">
        <v>0</v>
      </c>
      <c r="H633">
        <v>0</v>
      </c>
      <c r="I633">
        <v>1</v>
      </c>
      <c r="J633">
        <v>0.52916700000000005</v>
      </c>
      <c r="K633">
        <v>0.51893299999999998</v>
      </c>
      <c r="L633">
        <v>0.46708300000000003</v>
      </c>
      <c r="M633">
        <v>0.22325800000000001</v>
      </c>
      <c r="N633">
        <v>2454</v>
      </c>
      <c r="O633">
        <v>5453</v>
      </c>
      <c r="P633">
        <v>7907</v>
      </c>
    </row>
    <row r="634" spans="1:16" x14ac:dyDescent="0.3">
      <c r="A634">
        <v>633</v>
      </c>
      <c r="B634" s="1">
        <v>41176</v>
      </c>
      <c r="C634">
        <v>4</v>
      </c>
      <c r="D634">
        <v>1</v>
      </c>
      <c r="E634">
        <v>9</v>
      </c>
      <c r="F634">
        <v>0</v>
      </c>
      <c r="G634">
        <v>1</v>
      </c>
      <c r="H634">
        <v>1</v>
      </c>
      <c r="I634">
        <v>1</v>
      </c>
      <c r="J634">
        <v>0.51416700000000004</v>
      </c>
      <c r="K634">
        <v>0.50251299999999999</v>
      </c>
      <c r="L634">
        <v>0.49291699999999999</v>
      </c>
      <c r="M634">
        <v>0.142404</v>
      </c>
      <c r="N634">
        <v>1001</v>
      </c>
      <c r="O634">
        <v>6435</v>
      </c>
      <c r="P634">
        <v>7436</v>
      </c>
    </row>
    <row r="635" spans="1:16" x14ac:dyDescent="0.3">
      <c r="A635">
        <v>634</v>
      </c>
      <c r="B635" s="1">
        <v>41177</v>
      </c>
      <c r="C635">
        <v>4</v>
      </c>
      <c r="D635">
        <v>1</v>
      </c>
      <c r="E635">
        <v>9</v>
      </c>
      <c r="F635">
        <v>0</v>
      </c>
      <c r="G635">
        <v>2</v>
      </c>
      <c r="H635">
        <v>1</v>
      </c>
      <c r="I635">
        <v>1</v>
      </c>
      <c r="J635">
        <v>0.55000000000000004</v>
      </c>
      <c r="K635">
        <v>0.54417899999999997</v>
      </c>
      <c r="L635">
        <v>0.56999999999999995</v>
      </c>
      <c r="M635">
        <v>0.236321</v>
      </c>
      <c r="N635">
        <v>845</v>
      </c>
      <c r="O635">
        <v>6693</v>
      </c>
      <c r="P635">
        <v>7538</v>
      </c>
    </row>
    <row r="636" spans="1:16" x14ac:dyDescent="0.3">
      <c r="A636">
        <v>635</v>
      </c>
      <c r="B636" s="1">
        <v>41178</v>
      </c>
      <c r="C636">
        <v>4</v>
      </c>
      <c r="D636">
        <v>1</v>
      </c>
      <c r="E636">
        <v>9</v>
      </c>
      <c r="F636">
        <v>0</v>
      </c>
      <c r="G636">
        <v>3</v>
      </c>
      <c r="H636">
        <v>1</v>
      </c>
      <c r="I636">
        <v>1</v>
      </c>
      <c r="J636">
        <v>0.63500000000000001</v>
      </c>
      <c r="K636">
        <v>0.59661299999999995</v>
      </c>
      <c r="L636">
        <v>0.63083299999999998</v>
      </c>
      <c r="M636">
        <v>0.24440000000000001</v>
      </c>
      <c r="N636">
        <v>787</v>
      </c>
      <c r="O636">
        <v>6946</v>
      </c>
      <c r="P636">
        <v>7733</v>
      </c>
    </row>
    <row r="637" spans="1:16" x14ac:dyDescent="0.3">
      <c r="A637">
        <v>636</v>
      </c>
      <c r="B637" s="1">
        <v>41179</v>
      </c>
      <c r="C637">
        <v>4</v>
      </c>
      <c r="D637">
        <v>1</v>
      </c>
      <c r="E637">
        <v>9</v>
      </c>
      <c r="F637">
        <v>0</v>
      </c>
      <c r="G637">
        <v>4</v>
      </c>
      <c r="H637">
        <v>1</v>
      </c>
      <c r="I637">
        <v>2</v>
      </c>
      <c r="J637">
        <v>0.65</v>
      </c>
      <c r="K637">
        <v>0.60797500000000004</v>
      </c>
      <c r="L637">
        <v>0.69083300000000003</v>
      </c>
      <c r="M637">
        <v>0.13434199999999999</v>
      </c>
      <c r="N637">
        <v>751</v>
      </c>
      <c r="O637">
        <v>6642</v>
      </c>
      <c r="P637">
        <v>7393</v>
      </c>
    </row>
    <row r="638" spans="1:16" x14ac:dyDescent="0.3">
      <c r="A638">
        <v>637</v>
      </c>
      <c r="B638" s="1">
        <v>41180</v>
      </c>
      <c r="C638">
        <v>4</v>
      </c>
      <c r="D638">
        <v>1</v>
      </c>
      <c r="E638">
        <v>9</v>
      </c>
      <c r="F638">
        <v>0</v>
      </c>
      <c r="G638">
        <v>5</v>
      </c>
      <c r="H638">
        <v>1</v>
      </c>
      <c r="I638">
        <v>2</v>
      </c>
      <c r="J638">
        <v>0.61916700000000002</v>
      </c>
      <c r="K638">
        <v>0.58586300000000002</v>
      </c>
      <c r="L638">
        <v>0.69</v>
      </c>
      <c r="M638">
        <v>0.16417899999999999</v>
      </c>
      <c r="N638">
        <v>1045</v>
      </c>
      <c r="O638">
        <v>6370</v>
      </c>
      <c r="P638">
        <v>7415</v>
      </c>
    </row>
    <row r="639" spans="1:16" x14ac:dyDescent="0.3">
      <c r="A639">
        <v>638</v>
      </c>
      <c r="B639" s="1">
        <v>41181</v>
      </c>
      <c r="C639">
        <v>4</v>
      </c>
      <c r="D639">
        <v>1</v>
      </c>
      <c r="E639">
        <v>9</v>
      </c>
      <c r="F639">
        <v>0</v>
      </c>
      <c r="G639">
        <v>6</v>
      </c>
      <c r="H639">
        <v>0</v>
      </c>
      <c r="I639">
        <v>1</v>
      </c>
      <c r="J639">
        <v>0.54249999999999998</v>
      </c>
      <c r="K639">
        <v>0.53029599999999999</v>
      </c>
      <c r="L639">
        <v>0.54291699999999998</v>
      </c>
      <c r="M639">
        <v>0.227604</v>
      </c>
      <c r="N639">
        <v>2589</v>
      </c>
      <c r="O639">
        <v>5966</v>
      </c>
      <c r="P639">
        <v>8555</v>
      </c>
    </row>
    <row r="640" spans="1:16" x14ac:dyDescent="0.3">
      <c r="A640">
        <v>639</v>
      </c>
      <c r="B640" s="1">
        <v>41182</v>
      </c>
      <c r="C640">
        <v>4</v>
      </c>
      <c r="D640">
        <v>1</v>
      </c>
      <c r="E640">
        <v>9</v>
      </c>
      <c r="F640">
        <v>0</v>
      </c>
      <c r="G640">
        <v>0</v>
      </c>
      <c r="H640">
        <v>0</v>
      </c>
      <c r="I640">
        <v>1</v>
      </c>
      <c r="J640">
        <v>0.526667</v>
      </c>
      <c r="K640">
        <v>0.51766299999999998</v>
      </c>
      <c r="L640">
        <v>0.58333299999999999</v>
      </c>
      <c r="M640">
        <v>0.13495799999999999</v>
      </c>
      <c r="N640">
        <v>2015</v>
      </c>
      <c r="O640">
        <v>4874</v>
      </c>
      <c r="P640">
        <v>6889</v>
      </c>
    </row>
    <row r="641" spans="1:16" x14ac:dyDescent="0.3">
      <c r="A641">
        <v>640</v>
      </c>
      <c r="B641" s="1">
        <v>41183</v>
      </c>
      <c r="C641">
        <v>4</v>
      </c>
      <c r="D641">
        <v>1</v>
      </c>
      <c r="E641">
        <v>10</v>
      </c>
      <c r="F641">
        <v>0</v>
      </c>
      <c r="G641">
        <v>1</v>
      </c>
      <c r="H641">
        <v>1</v>
      </c>
      <c r="I641">
        <v>2</v>
      </c>
      <c r="J641">
        <v>0.52083299999999999</v>
      </c>
      <c r="K641">
        <v>0.51200000000000001</v>
      </c>
      <c r="L641">
        <v>0.64916700000000005</v>
      </c>
      <c r="M641">
        <v>9.0804200000000002E-2</v>
      </c>
      <c r="N641">
        <v>763</v>
      </c>
      <c r="O641">
        <v>6015</v>
      </c>
      <c r="P641">
        <v>6778</v>
      </c>
    </row>
    <row r="642" spans="1:16" x14ac:dyDescent="0.3">
      <c r="A642">
        <v>641</v>
      </c>
      <c r="B642" s="1">
        <v>41184</v>
      </c>
      <c r="C642">
        <v>4</v>
      </c>
      <c r="D642">
        <v>1</v>
      </c>
      <c r="E642">
        <v>10</v>
      </c>
      <c r="F642">
        <v>0</v>
      </c>
      <c r="G642">
        <v>2</v>
      </c>
      <c r="H642">
        <v>1</v>
      </c>
      <c r="I642">
        <v>3</v>
      </c>
      <c r="J642">
        <v>0.59083300000000005</v>
      </c>
      <c r="K642">
        <v>0.54233299999999995</v>
      </c>
      <c r="L642">
        <v>0.87166699999999997</v>
      </c>
      <c r="M642">
        <v>0.104475</v>
      </c>
      <c r="N642">
        <v>315</v>
      </c>
      <c r="O642">
        <v>4324</v>
      </c>
      <c r="P642">
        <v>4639</v>
      </c>
    </row>
    <row r="643" spans="1:16" x14ac:dyDescent="0.3">
      <c r="A643">
        <v>642</v>
      </c>
      <c r="B643" s="1">
        <v>41185</v>
      </c>
      <c r="C643">
        <v>4</v>
      </c>
      <c r="D643">
        <v>1</v>
      </c>
      <c r="E643">
        <v>10</v>
      </c>
      <c r="F643">
        <v>0</v>
      </c>
      <c r="G643">
        <v>3</v>
      </c>
      <c r="H643">
        <v>1</v>
      </c>
      <c r="I643">
        <v>2</v>
      </c>
      <c r="J643">
        <v>0.65749999999999997</v>
      </c>
      <c r="K643">
        <v>0.59913300000000003</v>
      </c>
      <c r="L643">
        <v>0.79374999999999996</v>
      </c>
      <c r="M643">
        <v>6.6545800000000002E-2</v>
      </c>
      <c r="N643">
        <v>728</v>
      </c>
      <c r="O643">
        <v>6844</v>
      </c>
      <c r="P643">
        <v>7572</v>
      </c>
    </row>
    <row r="644" spans="1:16" x14ac:dyDescent="0.3">
      <c r="A644">
        <v>643</v>
      </c>
      <c r="B644" s="1">
        <v>41186</v>
      </c>
      <c r="C644">
        <v>4</v>
      </c>
      <c r="D644">
        <v>1</v>
      </c>
      <c r="E644">
        <v>10</v>
      </c>
      <c r="F644">
        <v>0</v>
      </c>
      <c r="G644">
        <v>4</v>
      </c>
      <c r="H644">
        <v>1</v>
      </c>
      <c r="I644">
        <v>2</v>
      </c>
      <c r="J644">
        <v>0.65749999999999997</v>
      </c>
      <c r="K644">
        <v>0.60797500000000004</v>
      </c>
      <c r="L644">
        <v>0.72291700000000003</v>
      </c>
      <c r="M644">
        <v>0.117546</v>
      </c>
      <c r="N644">
        <v>891</v>
      </c>
      <c r="O644">
        <v>6437</v>
      </c>
      <c r="P644">
        <v>7328</v>
      </c>
    </row>
    <row r="645" spans="1:16" x14ac:dyDescent="0.3">
      <c r="A645">
        <v>644</v>
      </c>
      <c r="B645" s="1">
        <v>41187</v>
      </c>
      <c r="C645">
        <v>4</v>
      </c>
      <c r="D645">
        <v>1</v>
      </c>
      <c r="E645">
        <v>10</v>
      </c>
      <c r="F645">
        <v>0</v>
      </c>
      <c r="G645">
        <v>5</v>
      </c>
      <c r="H645">
        <v>1</v>
      </c>
      <c r="I645">
        <v>1</v>
      </c>
      <c r="J645">
        <v>0.61499999999999999</v>
      </c>
      <c r="K645">
        <v>0.58018700000000001</v>
      </c>
      <c r="L645">
        <v>0.62749999999999995</v>
      </c>
      <c r="M645">
        <v>0.10635</v>
      </c>
      <c r="N645">
        <v>1516</v>
      </c>
      <c r="O645">
        <v>6640</v>
      </c>
      <c r="P645">
        <v>8156</v>
      </c>
    </row>
    <row r="646" spans="1:16" x14ac:dyDescent="0.3">
      <c r="A646">
        <v>645</v>
      </c>
      <c r="B646" s="1">
        <v>41188</v>
      </c>
      <c r="C646">
        <v>4</v>
      </c>
      <c r="D646">
        <v>1</v>
      </c>
      <c r="E646">
        <v>10</v>
      </c>
      <c r="F646">
        <v>0</v>
      </c>
      <c r="G646">
        <v>6</v>
      </c>
      <c r="H646">
        <v>0</v>
      </c>
      <c r="I646">
        <v>1</v>
      </c>
      <c r="J646">
        <v>0.55416699999999997</v>
      </c>
      <c r="K646">
        <v>0.53852100000000003</v>
      </c>
      <c r="L646">
        <v>0.66416699999999995</v>
      </c>
      <c r="M646">
        <v>0.26802500000000001</v>
      </c>
      <c r="N646">
        <v>3031</v>
      </c>
      <c r="O646">
        <v>4934</v>
      </c>
      <c r="P646">
        <v>7965</v>
      </c>
    </row>
    <row r="647" spans="1:16" x14ac:dyDescent="0.3">
      <c r="A647">
        <v>646</v>
      </c>
      <c r="B647" s="1">
        <v>41189</v>
      </c>
      <c r="C647">
        <v>4</v>
      </c>
      <c r="D647">
        <v>1</v>
      </c>
      <c r="E647">
        <v>10</v>
      </c>
      <c r="F647">
        <v>0</v>
      </c>
      <c r="G647">
        <v>0</v>
      </c>
      <c r="H647">
        <v>0</v>
      </c>
      <c r="I647">
        <v>2</v>
      </c>
      <c r="J647">
        <v>0.41583300000000001</v>
      </c>
      <c r="K647">
        <v>0.41981299999999999</v>
      </c>
      <c r="L647">
        <v>0.70833299999999999</v>
      </c>
      <c r="M647">
        <v>0.14116200000000001</v>
      </c>
      <c r="N647">
        <v>781</v>
      </c>
      <c r="O647">
        <v>2729</v>
      </c>
      <c r="P647">
        <v>3510</v>
      </c>
    </row>
    <row r="648" spans="1:16" x14ac:dyDescent="0.3">
      <c r="A648">
        <v>647</v>
      </c>
      <c r="B648" s="1">
        <v>41190</v>
      </c>
      <c r="C648">
        <v>4</v>
      </c>
      <c r="D648">
        <v>1</v>
      </c>
      <c r="E648">
        <v>10</v>
      </c>
      <c r="F648">
        <v>1</v>
      </c>
      <c r="G648">
        <v>1</v>
      </c>
      <c r="H648">
        <v>0</v>
      </c>
      <c r="I648">
        <v>2</v>
      </c>
      <c r="J648">
        <v>0.38333299999999998</v>
      </c>
      <c r="K648">
        <v>0.38760800000000001</v>
      </c>
      <c r="L648">
        <v>0.70958299999999996</v>
      </c>
      <c r="M648">
        <v>0.18967899999999999</v>
      </c>
      <c r="N648">
        <v>874</v>
      </c>
      <c r="O648">
        <v>4604</v>
      </c>
      <c r="P648">
        <v>5478</v>
      </c>
    </row>
    <row r="649" spans="1:16" x14ac:dyDescent="0.3">
      <c r="A649">
        <v>648</v>
      </c>
      <c r="B649" s="1">
        <v>41191</v>
      </c>
      <c r="C649">
        <v>4</v>
      </c>
      <c r="D649">
        <v>1</v>
      </c>
      <c r="E649">
        <v>10</v>
      </c>
      <c r="F649">
        <v>0</v>
      </c>
      <c r="G649">
        <v>2</v>
      </c>
      <c r="H649">
        <v>1</v>
      </c>
      <c r="I649">
        <v>2</v>
      </c>
      <c r="J649">
        <v>0.44666699999999998</v>
      </c>
      <c r="K649">
        <v>0.438112</v>
      </c>
      <c r="L649">
        <v>0.76166699999999998</v>
      </c>
      <c r="M649">
        <v>0.1903</v>
      </c>
      <c r="N649">
        <v>601</v>
      </c>
      <c r="O649">
        <v>5791</v>
      </c>
      <c r="P649">
        <v>6392</v>
      </c>
    </row>
    <row r="650" spans="1:16" x14ac:dyDescent="0.3">
      <c r="A650">
        <v>649</v>
      </c>
      <c r="B650" s="1">
        <v>41192</v>
      </c>
      <c r="C650">
        <v>4</v>
      </c>
      <c r="D650">
        <v>1</v>
      </c>
      <c r="E650">
        <v>10</v>
      </c>
      <c r="F650">
        <v>0</v>
      </c>
      <c r="G650">
        <v>3</v>
      </c>
      <c r="H650">
        <v>1</v>
      </c>
      <c r="I650">
        <v>1</v>
      </c>
      <c r="J650">
        <v>0.51416700000000004</v>
      </c>
      <c r="K650">
        <v>0.50314199999999998</v>
      </c>
      <c r="L650">
        <v>0.63083299999999998</v>
      </c>
      <c r="M650">
        <v>0.18782099999999999</v>
      </c>
      <c r="N650">
        <v>780</v>
      </c>
      <c r="O650">
        <v>6911</v>
      </c>
      <c r="P650">
        <v>7691</v>
      </c>
    </row>
    <row r="651" spans="1:16" x14ac:dyDescent="0.3">
      <c r="A651">
        <v>650</v>
      </c>
      <c r="B651" s="1">
        <v>41193</v>
      </c>
      <c r="C651">
        <v>4</v>
      </c>
      <c r="D651">
        <v>1</v>
      </c>
      <c r="E651">
        <v>10</v>
      </c>
      <c r="F651">
        <v>0</v>
      </c>
      <c r="G651">
        <v>4</v>
      </c>
      <c r="H651">
        <v>1</v>
      </c>
      <c r="I651">
        <v>1</v>
      </c>
      <c r="J651">
        <v>0.435</v>
      </c>
      <c r="K651">
        <v>0.43116700000000002</v>
      </c>
      <c r="L651">
        <v>0.46333299999999999</v>
      </c>
      <c r="M651">
        <v>0.18159600000000001</v>
      </c>
      <c r="N651">
        <v>834</v>
      </c>
      <c r="O651">
        <v>6736</v>
      </c>
      <c r="P651">
        <v>7570</v>
      </c>
    </row>
    <row r="652" spans="1:16" x14ac:dyDescent="0.3">
      <c r="A652">
        <v>651</v>
      </c>
      <c r="B652" s="1">
        <v>41194</v>
      </c>
      <c r="C652">
        <v>4</v>
      </c>
      <c r="D652">
        <v>1</v>
      </c>
      <c r="E652">
        <v>10</v>
      </c>
      <c r="F652">
        <v>0</v>
      </c>
      <c r="G652">
        <v>5</v>
      </c>
      <c r="H652">
        <v>1</v>
      </c>
      <c r="I652">
        <v>1</v>
      </c>
      <c r="J652">
        <v>0.4375</v>
      </c>
      <c r="K652">
        <v>0.43307099999999998</v>
      </c>
      <c r="L652">
        <v>0.53916699999999995</v>
      </c>
      <c r="M652">
        <v>0.235092</v>
      </c>
      <c r="N652">
        <v>1060</v>
      </c>
      <c r="O652">
        <v>6222</v>
      </c>
      <c r="P652">
        <v>7282</v>
      </c>
    </row>
    <row r="653" spans="1:16" x14ac:dyDescent="0.3">
      <c r="A653">
        <v>652</v>
      </c>
      <c r="B653" s="1">
        <v>41195</v>
      </c>
      <c r="C653">
        <v>4</v>
      </c>
      <c r="D653">
        <v>1</v>
      </c>
      <c r="E653">
        <v>10</v>
      </c>
      <c r="F653">
        <v>0</v>
      </c>
      <c r="G653">
        <v>6</v>
      </c>
      <c r="H653">
        <v>0</v>
      </c>
      <c r="I653">
        <v>1</v>
      </c>
      <c r="J653">
        <v>0.39333299999999999</v>
      </c>
      <c r="K653">
        <v>0.39139600000000002</v>
      </c>
      <c r="L653">
        <v>0.49458299999999999</v>
      </c>
      <c r="M653">
        <v>0.14614199999999999</v>
      </c>
      <c r="N653">
        <v>2252</v>
      </c>
      <c r="O653">
        <v>4857</v>
      </c>
      <c r="P653">
        <v>7109</v>
      </c>
    </row>
    <row r="654" spans="1:16" x14ac:dyDescent="0.3">
      <c r="A654">
        <v>653</v>
      </c>
      <c r="B654" s="1">
        <v>41196</v>
      </c>
      <c r="C654">
        <v>4</v>
      </c>
      <c r="D654">
        <v>1</v>
      </c>
      <c r="E654">
        <v>10</v>
      </c>
      <c r="F654">
        <v>0</v>
      </c>
      <c r="G654">
        <v>0</v>
      </c>
      <c r="H654">
        <v>0</v>
      </c>
      <c r="I654">
        <v>1</v>
      </c>
      <c r="J654">
        <v>0.52166699999999999</v>
      </c>
      <c r="K654">
        <v>0.50820399999999999</v>
      </c>
      <c r="L654">
        <v>0.64041700000000001</v>
      </c>
      <c r="M654">
        <v>0.27861200000000003</v>
      </c>
      <c r="N654">
        <v>2080</v>
      </c>
      <c r="O654">
        <v>4559</v>
      </c>
      <c r="P654">
        <v>6639</v>
      </c>
    </row>
    <row r="655" spans="1:16" x14ac:dyDescent="0.3">
      <c r="A655">
        <v>654</v>
      </c>
      <c r="B655" s="1">
        <v>41197</v>
      </c>
      <c r="C655">
        <v>4</v>
      </c>
      <c r="D655">
        <v>1</v>
      </c>
      <c r="E655">
        <v>10</v>
      </c>
      <c r="F655">
        <v>0</v>
      </c>
      <c r="G655">
        <v>1</v>
      </c>
      <c r="H655">
        <v>1</v>
      </c>
      <c r="I655">
        <v>2</v>
      </c>
      <c r="J655">
        <v>0.56166700000000003</v>
      </c>
      <c r="K655">
        <v>0.53915000000000002</v>
      </c>
      <c r="L655">
        <v>0.70750000000000002</v>
      </c>
      <c r="M655">
        <v>0.29603699999999999</v>
      </c>
      <c r="N655">
        <v>760</v>
      </c>
      <c r="O655">
        <v>5115</v>
      </c>
      <c r="P655">
        <v>5875</v>
      </c>
    </row>
    <row r="656" spans="1:16" x14ac:dyDescent="0.3">
      <c r="A656">
        <v>655</v>
      </c>
      <c r="B656" s="1">
        <v>41198</v>
      </c>
      <c r="C656">
        <v>4</v>
      </c>
      <c r="D656">
        <v>1</v>
      </c>
      <c r="E656">
        <v>10</v>
      </c>
      <c r="F656">
        <v>0</v>
      </c>
      <c r="G656">
        <v>2</v>
      </c>
      <c r="H656">
        <v>1</v>
      </c>
      <c r="I656">
        <v>1</v>
      </c>
      <c r="J656">
        <v>0.468333</v>
      </c>
      <c r="K656">
        <v>0.46084599999999998</v>
      </c>
      <c r="L656">
        <v>0.55833299999999997</v>
      </c>
      <c r="M656">
        <v>0.18222099999999999</v>
      </c>
      <c r="N656">
        <v>922</v>
      </c>
      <c r="O656">
        <v>6612</v>
      </c>
      <c r="P656">
        <v>7534</v>
      </c>
    </row>
    <row r="657" spans="1:16" x14ac:dyDescent="0.3">
      <c r="A657">
        <v>656</v>
      </c>
      <c r="B657" s="1">
        <v>41199</v>
      </c>
      <c r="C657">
        <v>4</v>
      </c>
      <c r="D657">
        <v>1</v>
      </c>
      <c r="E657">
        <v>10</v>
      </c>
      <c r="F657">
        <v>0</v>
      </c>
      <c r="G657">
        <v>3</v>
      </c>
      <c r="H657">
        <v>1</v>
      </c>
      <c r="I657">
        <v>1</v>
      </c>
      <c r="J657">
        <v>0.45583299999999999</v>
      </c>
      <c r="K657">
        <v>0.45010800000000001</v>
      </c>
      <c r="L657">
        <v>0.69291700000000001</v>
      </c>
      <c r="M657">
        <v>0.101371</v>
      </c>
      <c r="N657">
        <v>979</v>
      </c>
      <c r="O657">
        <v>6482</v>
      </c>
      <c r="P657">
        <v>7461</v>
      </c>
    </row>
    <row r="658" spans="1:16" x14ac:dyDescent="0.3">
      <c r="A658">
        <v>657</v>
      </c>
      <c r="B658" s="1">
        <v>41200</v>
      </c>
      <c r="C658">
        <v>4</v>
      </c>
      <c r="D658">
        <v>1</v>
      </c>
      <c r="E658">
        <v>10</v>
      </c>
      <c r="F658">
        <v>0</v>
      </c>
      <c r="G658">
        <v>4</v>
      </c>
      <c r="H658">
        <v>1</v>
      </c>
      <c r="I658">
        <v>2</v>
      </c>
      <c r="J658">
        <v>0.52249999999999996</v>
      </c>
      <c r="K658">
        <v>0.512625</v>
      </c>
      <c r="L658">
        <v>0.72833300000000001</v>
      </c>
      <c r="M658">
        <v>0.23693700000000001</v>
      </c>
      <c r="N658">
        <v>1008</v>
      </c>
      <c r="O658">
        <v>6501</v>
      </c>
      <c r="P658">
        <v>7509</v>
      </c>
    </row>
    <row r="659" spans="1:16" x14ac:dyDescent="0.3">
      <c r="A659">
        <v>658</v>
      </c>
      <c r="B659" s="1">
        <v>41201</v>
      </c>
      <c r="C659">
        <v>4</v>
      </c>
      <c r="D659">
        <v>1</v>
      </c>
      <c r="E659">
        <v>10</v>
      </c>
      <c r="F659">
        <v>0</v>
      </c>
      <c r="G659">
        <v>5</v>
      </c>
      <c r="H659">
        <v>1</v>
      </c>
      <c r="I659">
        <v>2</v>
      </c>
      <c r="J659">
        <v>0.56333299999999997</v>
      </c>
      <c r="K659">
        <v>0.53789600000000004</v>
      </c>
      <c r="L659">
        <v>0.81499999999999995</v>
      </c>
      <c r="M659">
        <v>0.13495399999999999</v>
      </c>
      <c r="N659">
        <v>753</v>
      </c>
      <c r="O659">
        <v>4671</v>
      </c>
      <c r="P659">
        <v>5424</v>
      </c>
    </row>
    <row r="660" spans="1:16" x14ac:dyDescent="0.3">
      <c r="A660">
        <v>659</v>
      </c>
      <c r="B660" s="1">
        <v>41202</v>
      </c>
      <c r="C660">
        <v>4</v>
      </c>
      <c r="D660">
        <v>1</v>
      </c>
      <c r="E660">
        <v>10</v>
      </c>
      <c r="F660">
        <v>0</v>
      </c>
      <c r="G660">
        <v>6</v>
      </c>
      <c r="H660">
        <v>0</v>
      </c>
      <c r="I660">
        <v>1</v>
      </c>
      <c r="J660">
        <v>0.48416700000000001</v>
      </c>
      <c r="K660">
        <v>0.47284199999999998</v>
      </c>
      <c r="L660">
        <v>0.57291700000000001</v>
      </c>
      <c r="M660">
        <v>0.117537</v>
      </c>
      <c r="N660">
        <v>2806</v>
      </c>
      <c r="O660">
        <v>5284</v>
      </c>
      <c r="P660">
        <v>8090</v>
      </c>
    </row>
    <row r="661" spans="1:16" x14ac:dyDescent="0.3">
      <c r="A661">
        <v>660</v>
      </c>
      <c r="B661" s="1">
        <v>41203</v>
      </c>
      <c r="C661">
        <v>4</v>
      </c>
      <c r="D661">
        <v>1</v>
      </c>
      <c r="E661">
        <v>10</v>
      </c>
      <c r="F661">
        <v>0</v>
      </c>
      <c r="G661">
        <v>0</v>
      </c>
      <c r="H661">
        <v>0</v>
      </c>
      <c r="I661">
        <v>1</v>
      </c>
      <c r="J661">
        <v>0.464167</v>
      </c>
      <c r="K661">
        <v>0.45642899999999997</v>
      </c>
      <c r="L661">
        <v>0.51</v>
      </c>
      <c r="M661">
        <v>0.16605400000000001</v>
      </c>
      <c r="N661">
        <v>2132</v>
      </c>
      <c r="O661">
        <v>4692</v>
      </c>
      <c r="P661">
        <v>6824</v>
      </c>
    </row>
    <row r="662" spans="1:16" x14ac:dyDescent="0.3">
      <c r="A662">
        <v>661</v>
      </c>
      <c r="B662" s="1">
        <v>41204</v>
      </c>
      <c r="C662">
        <v>4</v>
      </c>
      <c r="D662">
        <v>1</v>
      </c>
      <c r="E662">
        <v>10</v>
      </c>
      <c r="F662">
        <v>0</v>
      </c>
      <c r="G662">
        <v>1</v>
      </c>
      <c r="H662">
        <v>1</v>
      </c>
      <c r="I662">
        <v>1</v>
      </c>
      <c r="J662">
        <v>0.48749999999999999</v>
      </c>
      <c r="K662">
        <v>0.48294199999999998</v>
      </c>
      <c r="L662">
        <v>0.56833299999999998</v>
      </c>
      <c r="M662">
        <v>8.1483299999999995E-2</v>
      </c>
      <c r="N662">
        <v>830</v>
      </c>
      <c r="O662">
        <v>6228</v>
      </c>
      <c r="P662">
        <v>7058</v>
      </c>
    </row>
    <row r="663" spans="1:16" x14ac:dyDescent="0.3">
      <c r="A663">
        <v>662</v>
      </c>
      <c r="B663" s="1">
        <v>41205</v>
      </c>
      <c r="C663">
        <v>4</v>
      </c>
      <c r="D663">
        <v>1</v>
      </c>
      <c r="E663">
        <v>10</v>
      </c>
      <c r="F663">
        <v>0</v>
      </c>
      <c r="G663">
        <v>2</v>
      </c>
      <c r="H663">
        <v>1</v>
      </c>
      <c r="I663">
        <v>1</v>
      </c>
      <c r="J663">
        <v>0.54416699999999996</v>
      </c>
      <c r="K663">
        <v>0.530304</v>
      </c>
      <c r="L663">
        <v>0.64166699999999999</v>
      </c>
      <c r="M663">
        <v>9.4545799999999999E-2</v>
      </c>
      <c r="N663">
        <v>841</v>
      </c>
      <c r="O663">
        <v>6625</v>
      </c>
      <c r="P663">
        <v>7466</v>
      </c>
    </row>
    <row r="664" spans="1:16" x14ac:dyDescent="0.3">
      <c r="A664">
        <v>663</v>
      </c>
      <c r="B664" s="1">
        <v>41206</v>
      </c>
      <c r="C664">
        <v>4</v>
      </c>
      <c r="D664">
        <v>1</v>
      </c>
      <c r="E664">
        <v>10</v>
      </c>
      <c r="F664">
        <v>0</v>
      </c>
      <c r="G664">
        <v>3</v>
      </c>
      <c r="H664">
        <v>1</v>
      </c>
      <c r="I664">
        <v>1</v>
      </c>
      <c r="J664">
        <v>0.58750000000000002</v>
      </c>
      <c r="K664">
        <v>0.55872100000000002</v>
      </c>
      <c r="L664">
        <v>0.63624999999999998</v>
      </c>
      <c r="M664">
        <v>7.2779200000000002E-2</v>
      </c>
      <c r="N664">
        <v>795</v>
      </c>
      <c r="O664">
        <v>6898</v>
      </c>
      <c r="P664">
        <v>7693</v>
      </c>
    </row>
    <row r="665" spans="1:16" x14ac:dyDescent="0.3">
      <c r="A665">
        <v>664</v>
      </c>
      <c r="B665" s="1">
        <v>41207</v>
      </c>
      <c r="C665">
        <v>4</v>
      </c>
      <c r="D665">
        <v>1</v>
      </c>
      <c r="E665">
        <v>10</v>
      </c>
      <c r="F665">
        <v>0</v>
      </c>
      <c r="G665">
        <v>4</v>
      </c>
      <c r="H665">
        <v>1</v>
      </c>
      <c r="I665">
        <v>2</v>
      </c>
      <c r="J665">
        <v>0.55000000000000004</v>
      </c>
      <c r="K665">
        <v>0.52968800000000005</v>
      </c>
      <c r="L665">
        <v>0.80041700000000005</v>
      </c>
      <c r="M665">
        <v>0.124375</v>
      </c>
      <c r="N665">
        <v>875</v>
      </c>
      <c r="O665">
        <v>6484</v>
      </c>
      <c r="P665">
        <v>7359</v>
      </c>
    </row>
    <row r="666" spans="1:16" x14ac:dyDescent="0.3">
      <c r="A666">
        <v>665</v>
      </c>
      <c r="B666" s="1">
        <v>41208</v>
      </c>
      <c r="C666">
        <v>4</v>
      </c>
      <c r="D666">
        <v>1</v>
      </c>
      <c r="E666">
        <v>10</v>
      </c>
      <c r="F666">
        <v>0</v>
      </c>
      <c r="G666">
        <v>5</v>
      </c>
      <c r="H666">
        <v>1</v>
      </c>
      <c r="I666">
        <v>2</v>
      </c>
      <c r="J666">
        <v>0.54583300000000001</v>
      </c>
      <c r="K666">
        <v>0.52275000000000005</v>
      </c>
      <c r="L666">
        <v>0.80708299999999999</v>
      </c>
      <c r="M666">
        <v>0.132467</v>
      </c>
      <c r="N666">
        <v>1182</v>
      </c>
      <c r="O666">
        <v>6262</v>
      </c>
      <c r="P666">
        <v>7444</v>
      </c>
    </row>
    <row r="667" spans="1:16" x14ac:dyDescent="0.3">
      <c r="A667">
        <v>666</v>
      </c>
      <c r="B667" s="1">
        <v>41209</v>
      </c>
      <c r="C667">
        <v>4</v>
      </c>
      <c r="D667">
        <v>1</v>
      </c>
      <c r="E667">
        <v>10</v>
      </c>
      <c r="F667">
        <v>0</v>
      </c>
      <c r="G667">
        <v>6</v>
      </c>
      <c r="H667">
        <v>0</v>
      </c>
      <c r="I667">
        <v>2</v>
      </c>
      <c r="J667">
        <v>0.53</v>
      </c>
      <c r="K667">
        <v>0.51513299999999995</v>
      </c>
      <c r="L667">
        <v>0.72</v>
      </c>
      <c r="M667">
        <v>0.23569200000000001</v>
      </c>
      <c r="N667">
        <v>2643</v>
      </c>
      <c r="O667">
        <v>5209</v>
      </c>
      <c r="P667">
        <v>7852</v>
      </c>
    </row>
    <row r="668" spans="1:16" x14ac:dyDescent="0.3">
      <c r="A668">
        <v>667</v>
      </c>
      <c r="B668" s="1">
        <v>41210</v>
      </c>
      <c r="C668">
        <v>4</v>
      </c>
      <c r="D668">
        <v>1</v>
      </c>
      <c r="E668">
        <v>10</v>
      </c>
      <c r="F668">
        <v>0</v>
      </c>
      <c r="G668">
        <v>0</v>
      </c>
      <c r="H668">
        <v>0</v>
      </c>
      <c r="I668">
        <v>2</v>
      </c>
      <c r="J668">
        <v>0.47749999999999998</v>
      </c>
      <c r="K668">
        <v>0.46777099999999999</v>
      </c>
      <c r="L668">
        <v>0.69458299999999995</v>
      </c>
      <c r="M668">
        <v>0.39800799999999997</v>
      </c>
      <c r="N668">
        <v>998</v>
      </c>
      <c r="O668">
        <v>3461</v>
      </c>
      <c r="P668">
        <v>4459</v>
      </c>
    </row>
    <row r="669" spans="1:16" x14ac:dyDescent="0.3">
      <c r="A669">
        <v>668</v>
      </c>
      <c r="B669" s="1">
        <v>41211</v>
      </c>
      <c r="C669">
        <v>4</v>
      </c>
      <c r="D669">
        <v>1</v>
      </c>
      <c r="E669">
        <v>10</v>
      </c>
      <c r="F669">
        <v>0</v>
      </c>
      <c r="G669">
        <v>1</v>
      </c>
      <c r="H669">
        <v>1</v>
      </c>
      <c r="I669">
        <v>3</v>
      </c>
      <c r="J669">
        <v>0.44</v>
      </c>
      <c r="K669">
        <v>0.43940000000000001</v>
      </c>
      <c r="L669">
        <v>0.88</v>
      </c>
      <c r="M669">
        <v>0.35820000000000002</v>
      </c>
      <c r="N669">
        <v>2</v>
      </c>
      <c r="O669">
        <v>20</v>
      </c>
      <c r="P669">
        <v>22</v>
      </c>
    </row>
    <row r="670" spans="1:16" x14ac:dyDescent="0.3">
      <c r="A670">
        <v>669</v>
      </c>
      <c r="B670" s="1">
        <v>41212</v>
      </c>
      <c r="C670">
        <v>4</v>
      </c>
      <c r="D670">
        <v>1</v>
      </c>
      <c r="E670">
        <v>10</v>
      </c>
      <c r="F670">
        <v>0</v>
      </c>
      <c r="G670">
        <v>2</v>
      </c>
      <c r="H670">
        <v>1</v>
      </c>
      <c r="I670">
        <v>2</v>
      </c>
      <c r="J670">
        <v>0.31818200000000002</v>
      </c>
      <c r="K670">
        <v>0.30990899999999999</v>
      </c>
      <c r="L670">
        <v>0.82545500000000005</v>
      </c>
      <c r="M670">
        <v>0.213009</v>
      </c>
      <c r="N670">
        <v>87</v>
      </c>
      <c r="O670">
        <v>1009</v>
      </c>
      <c r="P670">
        <v>1096</v>
      </c>
    </row>
    <row r="671" spans="1:16" x14ac:dyDescent="0.3">
      <c r="A671">
        <v>670</v>
      </c>
      <c r="B671" s="1">
        <v>41213</v>
      </c>
      <c r="C671">
        <v>4</v>
      </c>
      <c r="D671">
        <v>1</v>
      </c>
      <c r="E671">
        <v>10</v>
      </c>
      <c r="F671">
        <v>0</v>
      </c>
      <c r="G671">
        <v>3</v>
      </c>
      <c r="H671">
        <v>1</v>
      </c>
      <c r="I671">
        <v>2</v>
      </c>
      <c r="J671">
        <v>0.35749999999999998</v>
      </c>
      <c r="K671">
        <v>0.36109999999999998</v>
      </c>
      <c r="L671">
        <v>0.66666700000000001</v>
      </c>
      <c r="M671">
        <v>0.16666700000000001</v>
      </c>
      <c r="N671">
        <v>419</v>
      </c>
      <c r="O671">
        <v>5147</v>
      </c>
      <c r="P671">
        <v>5566</v>
      </c>
    </row>
    <row r="672" spans="1:16" x14ac:dyDescent="0.3">
      <c r="A672">
        <v>671</v>
      </c>
      <c r="B672" s="1">
        <v>41214</v>
      </c>
      <c r="C672">
        <v>4</v>
      </c>
      <c r="D672">
        <v>1</v>
      </c>
      <c r="E672">
        <v>11</v>
      </c>
      <c r="F672">
        <v>0</v>
      </c>
      <c r="G672">
        <v>4</v>
      </c>
      <c r="H672">
        <v>1</v>
      </c>
      <c r="I672">
        <v>2</v>
      </c>
      <c r="J672">
        <v>0.36583300000000002</v>
      </c>
      <c r="K672">
        <v>0.36994199999999999</v>
      </c>
      <c r="L672">
        <v>0.58166700000000005</v>
      </c>
      <c r="M672">
        <v>0.15734600000000001</v>
      </c>
      <c r="N672">
        <v>466</v>
      </c>
      <c r="O672">
        <v>5520</v>
      </c>
      <c r="P672">
        <v>5986</v>
      </c>
    </row>
    <row r="673" spans="1:16" x14ac:dyDescent="0.3">
      <c r="A673">
        <v>672</v>
      </c>
      <c r="B673" s="1">
        <v>41215</v>
      </c>
      <c r="C673">
        <v>4</v>
      </c>
      <c r="D673">
        <v>1</v>
      </c>
      <c r="E673">
        <v>11</v>
      </c>
      <c r="F673">
        <v>0</v>
      </c>
      <c r="G673">
        <v>5</v>
      </c>
      <c r="H673">
        <v>1</v>
      </c>
      <c r="I673">
        <v>1</v>
      </c>
      <c r="J673">
        <v>0.35499999999999998</v>
      </c>
      <c r="K673">
        <v>0.35604200000000003</v>
      </c>
      <c r="L673">
        <v>0.52208299999999996</v>
      </c>
      <c r="M673">
        <v>0.26617499999999999</v>
      </c>
      <c r="N673">
        <v>618</v>
      </c>
      <c r="O673">
        <v>5229</v>
      </c>
      <c r="P673">
        <v>5847</v>
      </c>
    </row>
    <row r="674" spans="1:16" x14ac:dyDescent="0.3">
      <c r="A674">
        <v>673</v>
      </c>
      <c r="B674" s="1">
        <v>41216</v>
      </c>
      <c r="C674">
        <v>4</v>
      </c>
      <c r="D674">
        <v>1</v>
      </c>
      <c r="E674">
        <v>11</v>
      </c>
      <c r="F674">
        <v>0</v>
      </c>
      <c r="G674">
        <v>6</v>
      </c>
      <c r="H674">
        <v>0</v>
      </c>
      <c r="I674">
        <v>2</v>
      </c>
      <c r="J674">
        <v>0.343333</v>
      </c>
      <c r="K674">
        <v>0.32384600000000002</v>
      </c>
      <c r="L674">
        <v>0.49125000000000002</v>
      </c>
      <c r="M674">
        <v>0.27052900000000002</v>
      </c>
      <c r="N674">
        <v>1029</v>
      </c>
      <c r="O674">
        <v>4109</v>
      </c>
      <c r="P674">
        <v>5138</v>
      </c>
    </row>
    <row r="675" spans="1:16" x14ac:dyDescent="0.3">
      <c r="A675">
        <v>674</v>
      </c>
      <c r="B675" s="1">
        <v>41217</v>
      </c>
      <c r="C675">
        <v>4</v>
      </c>
      <c r="D675">
        <v>1</v>
      </c>
      <c r="E675">
        <v>11</v>
      </c>
      <c r="F675">
        <v>0</v>
      </c>
      <c r="G675">
        <v>0</v>
      </c>
      <c r="H675">
        <v>0</v>
      </c>
      <c r="I675">
        <v>1</v>
      </c>
      <c r="J675">
        <v>0.32583299999999998</v>
      </c>
      <c r="K675">
        <v>0.329538</v>
      </c>
      <c r="L675">
        <v>0.53291699999999997</v>
      </c>
      <c r="M675">
        <v>0.17910799999999999</v>
      </c>
      <c r="N675">
        <v>1201</v>
      </c>
      <c r="O675">
        <v>3906</v>
      </c>
      <c r="P675">
        <v>5107</v>
      </c>
    </row>
    <row r="676" spans="1:16" x14ac:dyDescent="0.3">
      <c r="A676">
        <v>675</v>
      </c>
      <c r="B676" s="1">
        <v>41218</v>
      </c>
      <c r="C676">
        <v>4</v>
      </c>
      <c r="D676">
        <v>1</v>
      </c>
      <c r="E676">
        <v>11</v>
      </c>
      <c r="F676">
        <v>0</v>
      </c>
      <c r="G676">
        <v>1</v>
      </c>
      <c r="H676">
        <v>1</v>
      </c>
      <c r="I676">
        <v>1</v>
      </c>
      <c r="J676">
        <v>0.31916699999999998</v>
      </c>
      <c r="K676">
        <v>0.30807499999999999</v>
      </c>
      <c r="L676">
        <v>0.49416700000000002</v>
      </c>
      <c r="M676">
        <v>0.23632500000000001</v>
      </c>
      <c r="N676">
        <v>378</v>
      </c>
      <c r="O676">
        <v>4881</v>
      </c>
      <c r="P676">
        <v>5259</v>
      </c>
    </row>
    <row r="677" spans="1:16" x14ac:dyDescent="0.3">
      <c r="A677">
        <v>676</v>
      </c>
      <c r="B677" s="1">
        <v>41219</v>
      </c>
      <c r="C677">
        <v>4</v>
      </c>
      <c r="D677">
        <v>1</v>
      </c>
      <c r="E677">
        <v>11</v>
      </c>
      <c r="F677">
        <v>0</v>
      </c>
      <c r="G677">
        <v>2</v>
      </c>
      <c r="H677">
        <v>1</v>
      </c>
      <c r="I677">
        <v>1</v>
      </c>
      <c r="J677">
        <v>0.280833</v>
      </c>
      <c r="K677">
        <v>0.28156700000000001</v>
      </c>
      <c r="L677">
        <v>0.567083</v>
      </c>
      <c r="M677">
        <v>0.173513</v>
      </c>
      <c r="N677">
        <v>466</v>
      </c>
      <c r="O677">
        <v>5220</v>
      </c>
      <c r="P677">
        <v>5686</v>
      </c>
    </row>
    <row r="678" spans="1:16" x14ac:dyDescent="0.3">
      <c r="A678">
        <v>677</v>
      </c>
      <c r="B678" s="1">
        <v>41220</v>
      </c>
      <c r="C678">
        <v>4</v>
      </c>
      <c r="D678">
        <v>1</v>
      </c>
      <c r="E678">
        <v>11</v>
      </c>
      <c r="F678">
        <v>0</v>
      </c>
      <c r="G678">
        <v>3</v>
      </c>
      <c r="H678">
        <v>1</v>
      </c>
      <c r="I678">
        <v>2</v>
      </c>
      <c r="J678">
        <v>0.29583300000000001</v>
      </c>
      <c r="K678">
        <v>0.274621</v>
      </c>
      <c r="L678">
        <v>0.54749999999999999</v>
      </c>
      <c r="M678">
        <v>0.30410799999999999</v>
      </c>
      <c r="N678">
        <v>326</v>
      </c>
      <c r="O678">
        <v>4709</v>
      </c>
      <c r="P678">
        <v>5035</v>
      </c>
    </row>
    <row r="679" spans="1:16" x14ac:dyDescent="0.3">
      <c r="A679">
        <v>678</v>
      </c>
      <c r="B679" s="1">
        <v>41221</v>
      </c>
      <c r="C679">
        <v>4</v>
      </c>
      <c r="D679">
        <v>1</v>
      </c>
      <c r="E679">
        <v>11</v>
      </c>
      <c r="F679">
        <v>0</v>
      </c>
      <c r="G679">
        <v>4</v>
      </c>
      <c r="H679">
        <v>1</v>
      </c>
      <c r="I679">
        <v>1</v>
      </c>
      <c r="J679">
        <v>0.35217399999999999</v>
      </c>
      <c r="K679">
        <v>0.341891</v>
      </c>
      <c r="L679">
        <v>0.333478</v>
      </c>
      <c r="M679">
        <v>0.34783500000000001</v>
      </c>
      <c r="N679">
        <v>340</v>
      </c>
      <c r="O679">
        <v>4975</v>
      </c>
      <c r="P679">
        <v>5315</v>
      </c>
    </row>
    <row r="680" spans="1:16" x14ac:dyDescent="0.3">
      <c r="A680">
        <v>679</v>
      </c>
      <c r="B680" s="1">
        <v>41222</v>
      </c>
      <c r="C680">
        <v>4</v>
      </c>
      <c r="D680">
        <v>1</v>
      </c>
      <c r="E680">
        <v>11</v>
      </c>
      <c r="F680">
        <v>0</v>
      </c>
      <c r="G680">
        <v>5</v>
      </c>
      <c r="H680">
        <v>1</v>
      </c>
      <c r="I680">
        <v>1</v>
      </c>
      <c r="J680">
        <v>0.36166700000000002</v>
      </c>
      <c r="K680">
        <v>0.35541299999999998</v>
      </c>
      <c r="L680">
        <v>0.54083300000000001</v>
      </c>
      <c r="M680">
        <v>0.214558</v>
      </c>
      <c r="N680">
        <v>709</v>
      </c>
      <c r="O680">
        <v>5283</v>
      </c>
      <c r="P680">
        <v>5992</v>
      </c>
    </row>
    <row r="681" spans="1:16" x14ac:dyDescent="0.3">
      <c r="A681">
        <v>680</v>
      </c>
      <c r="B681" s="1">
        <v>41223</v>
      </c>
      <c r="C681">
        <v>4</v>
      </c>
      <c r="D681">
        <v>1</v>
      </c>
      <c r="E681">
        <v>11</v>
      </c>
      <c r="F681">
        <v>0</v>
      </c>
      <c r="G681">
        <v>6</v>
      </c>
      <c r="H681">
        <v>0</v>
      </c>
      <c r="I681">
        <v>1</v>
      </c>
      <c r="J681">
        <v>0.38916699999999999</v>
      </c>
      <c r="K681">
        <v>0.39393699999999998</v>
      </c>
      <c r="L681">
        <v>0.64541700000000002</v>
      </c>
      <c r="M681">
        <v>5.7845800000000003E-2</v>
      </c>
      <c r="N681">
        <v>2090</v>
      </c>
      <c r="O681">
        <v>4446</v>
      </c>
      <c r="P681">
        <v>6536</v>
      </c>
    </row>
    <row r="682" spans="1:16" x14ac:dyDescent="0.3">
      <c r="A682">
        <v>681</v>
      </c>
      <c r="B682" s="1">
        <v>41224</v>
      </c>
      <c r="C682">
        <v>4</v>
      </c>
      <c r="D682">
        <v>1</v>
      </c>
      <c r="E682">
        <v>11</v>
      </c>
      <c r="F682">
        <v>0</v>
      </c>
      <c r="G682">
        <v>0</v>
      </c>
      <c r="H682">
        <v>0</v>
      </c>
      <c r="I682">
        <v>1</v>
      </c>
      <c r="J682">
        <v>0.42083300000000001</v>
      </c>
      <c r="K682">
        <v>0.421713</v>
      </c>
      <c r="L682">
        <v>0.65916699999999995</v>
      </c>
      <c r="M682">
        <v>0.1275</v>
      </c>
      <c r="N682">
        <v>2290</v>
      </c>
      <c r="O682">
        <v>4562</v>
      </c>
      <c r="P682">
        <v>6852</v>
      </c>
    </row>
    <row r="683" spans="1:16" x14ac:dyDescent="0.3">
      <c r="A683">
        <v>682</v>
      </c>
      <c r="B683" s="1">
        <v>41225</v>
      </c>
      <c r="C683">
        <v>4</v>
      </c>
      <c r="D683">
        <v>1</v>
      </c>
      <c r="E683">
        <v>11</v>
      </c>
      <c r="F683">
        <v>1</v>
      </c>
      <c r="G683">
        <v>1</v>
      </c>
      <c r="H683">
        <v>0</v>
      </c>
      <c r="I683">
        <v>1</v>
      </c>
      <c r="J683">
        <v>0.48499999999999999</v>
      </c>
      <c r="K683">
        <v>0.475383</v>
      </c>
      <c r="L683">
        <v>0.74166699999999997</v>
      </c>
      <c r="M683">
        <v>0.173517</v>
      </c>
      <c r="N683">
        <v>1097</v>
      </c>
      <c r="O683">
        <v>5172</v>
      </c>
      <c r="P683">
        <v>6269</v>
      </c>
    </row>
    <row r="684" spans="1:16" x14ac:dyDescent="0.3">
      <c r="A684">
        <v>683</v>
      </c>
      <c r="B684" s="1">
        <v>41226</v>
      </c>
      <c r="C684">
        <v>4</v>
      </c>
      <c r="D684">
        <v>1</v>
      </c>
      <c r="E684">
        <v>11</v>
      </c>
      <c r="F684">
        <v>0</v>
      </c>
      <c r="G684">
        <v>2</v>
      </c>
      <c r="H684">
        <v>1</v>
      </c>
      <c r="I684">
        <v>2</v>
      </c>
      <c r="J684">
        <v>0.343333</v>
      </c>
      <c r="K684">
        <v>0.32322499999999998</v>
      </c>
      <c r="L684">
        <v>0.66291699999999998</v>
      </c>
      <c r="M684">
        <v>0.34204600000000002</v>
      </c>
      <c r="N684">
        <v>327</v>
      </c>
      <c r="O684">
        <v>3767</v>
      </c>
      <c r="P684">
        <v>4094</v>
      </c>
    </row>
    <row r="685" spans="1:16" x14ac:dyDescent="0.3">
      <c r="A685">
        <v>684</v>
      </c>
      <c r="B685" s="1">
        <v>41227</v>
      </c>
      <c r="C685">
        <v>4</v>
      </c>
      <c r="D685">
        <v>1</v>
      </c>
      <c r="E685">
        <v>11</v>
      </c>
      <c r="F685">
        <v>0</v>
      </c>
      <c r="G685">
        <v>3</v>
      </c>
      <c r="H685">
        <v>1</v>
      </c>
      <c r="I685">
        <v>1</v>
      </c>
      <c r="J685">
        <v>0.28916700000000001</v>
      </c>
      <c r="K685">
        <v>0.28156300000000001</v>
      </c>
      <c r="L685">
        <v>0.55208299999999999</v>
      </c>
      <c r="M685">
        <v>0.199625</v>
      </c>
      <c r="N685">
        <v>373</v>
      </c>
      <c r="O685">
        <v>5122</v>
      </c>
      <c r="P685">
        <v>5495</v>
      </c>
    </row>
    <row r="686" spans="1:16" x14ac:dyDescent="0.3">
      <c r="A686">
        <v>685</v>
      </c>
      <c r="B686" s="1">
        <v>41228</v>
      </c>
      <c r="C686">
        <v>4</v>
      </c>
      <c r="D686">
        <v>1</v>
      </c>
      <c r="E686">
        <v>11</v>
      </c>
      <c r="F686">
        <v>0</v>
      </c>
      <c r="G686">
        <v>4</v>
      </c>
      <c r="H686">
        <v>1</v>
      </c>
      <c r="I686">
        <v>2</v>
      </c>
      <c r="J686">
        <v>0.32166699999999998</v>
      </c>
      <c r="K686">
        <v>0.324492</v>
      </c>
      <c r="L686">
        <v>0.620417</v>
      </c>
      <c r="M686">
        <v>0.15298700000000001</v>
      </c>
      <c r="N686">
        <v>320</v>
      </c>
      <c r="O686">
        <v>5125</v>
      </c>
      <c r="P686">
        <v>5445</v>
      </c>
    </row>
    <row r="687" spans="1:16" x14ac:dyDescent="0.3">
      <c r="A687">
        <v>686</v>
      </c>
      <c r="B687" s="1">
        <v>41229</v>
      </c>
      <c r="C687">
        <v>4</v>
      </c>
      <c r="D687">
        <v>1</v>
      </c>
      <c r="E687">
        <v>11</v>
      </c>
      <c r="F687">
        <v>0</v>
      </c>
      <c r="G687">
        <v>5</v>
      </c>
      <c r="H687">
        <v>1</v>
      </c>
      <c r="I687">
        <v>1</v>
      </c>
      <c r="J687">
        <v>0.34499999999999997</v>
      </c>
      <c r="K687">
        <v>0.34720400000000001</v>
      </c>
      <c r="L687">
        <v>0.52458300000000002</v>
      </c>
      <c r="M687">
        <v>0.17102500000000001</v>
      </c>
      <c r="N687">
        <v>484</v>
      </c>
      <c r="O687">
        <v>5214</v>
      </c>
      <c r="P687">
        <v>5698</v>
      </c>
    </row>
    <row r="688" spans="1:16" x14ac:dyDescent="0.3">
      <c r="A688">
        <v>687</v>
      </c>
      <c r="B688" s="1">
        <v>41230</v>
      </c>
      <c r="C688">
        <v>4</v>
      </c>
      <c r="D688">
        <v>1</v>
      </c>
      <c r="E688">
        <v>11</v>
      </c>
      <c r="F688">
        <v>0</v>
      </c>
      <c r="G688">
        <v>6</v>
      </c>
      <c r="H688">
        <v>0</v>
      </c>
      <c r="I688">
        <v>1</v>
      </c>
      <c r="J688">
        <v>0.32500000000000001</v>
      </c>
      <c r="K688">
        <v>0.32638299999999998</v>
      </c>
      <c r="L688">
        <v>0.54541700000000004</v>
      </c>
      <c r="M688">
        <v>0.179729</v>
      </c>
      <c r="N688">
        <v>1313</v>
      </c>
      <c r="O688">
        <v>4316</v>
      </c>
      <c r="P688">
        <v>5629</v>
      </c>
    </row>
    <row r="689" spans="1:16" x14ac:dyDescent="0.3">
      <c r="A689">
        <v>688</v>
      </c>
      <c r="B689" s="1">
        <v>41231</v>
      </c>
      <c r="C689">
        <v>4</v>
      </c>
      <c r="D689">
        <v>1</v>
      </c>
      <c r="E689">
        <v>11</v>
      </c>
      <c r="F689">
        <v>0</v>
      </c>
      <c r="G689">
        <v>0</v>
      </c>
      <c r="H689">
        <v>0</v>
      </c>
      <c r="I689">
        <v>1</v>
      </c>
      <c r="J689">
        <v>0.34250000000000003</v>
      </c>
      <c r="K689">
        <v>0.33774599999999999</v>
      </c>
      <c r="L689">
        <v>0.69291700000000001</v>
      </c>
      <c r="M689">
        <v>0.22761200000000001</v>
      </c>
      <c r="N689">
        <v>922</v>
      </c>
      <c r="O689">
        <v>3747</v>
      </c>
      <c r="P689">
        <v>4669</v>
      </c>
    </row>
    <row r="690" spans="1:16" x14ac:dyDescent="0.3">
      <c r="A690">
        <v>689</v>
      </c>
      <c r="B690" s="1">
        <v>41232</v>
      </c>
      <c r="C690">
        <v>4</v>
      </c>
      <c r="D690">
        <v>1</v>
      </c>
      <c r="E690">
        <v>11</v>
      </c>
      <c r="F690">
        <v>0</v>
      </c>
      <c r="G690">
        <v>1</v>
      </c>
      <c r="H690">
        <v>1</v>
      </c>
      <c r="I690">
        <v>2</v>
      </c>
      <c r="J690">
        <v>0.38083299999999998</v>
      </c>
      <c r="K690">
        <v>0.37562099999999998</v>
      </c>
      <c r="L690">
        <v>0.62333300000000003</v>
      </c>
      <c r="M690">
        <v>0.235067</v>
      </c>
      <c r="N690">
        <v>449</v>
      </c>
      <c r="O690">
        <v>5050</v>
      </c>
      <c r="P690">
        <v>5499</v>
      </c>
    </row>
    <row r="691" spans="1:16" x14ac:dyDescent="0.3">
      <c r="A691">
        <v>690</v>
      </c>
      <c r="B691" s="1">
        <v>41233</v>
      </c>
      <c r="C691">
        <v>4</v>
      </c>
      <c r="D691">
        <v>1</v>
      </c>
      <c r="E691">
        <v>11</v>
      </c>
      <c r="F691">
        <v>0</v>
      </c>
      <c r="G691">
        <v>2</v>
      </c>
      <c r="H691">
        <v>1</v>
      </c>
      <c r="I691">
        <v>2</v>
      </c>
      <c r="J691">
        <v>0.37416700000000003</v>
      </c>
      <c r="K691">
        <v>0.38066699999999998</v>
      </c>
      <c r="L691">
        <v>0.68500000000000005</v>
      </c>
      <c r="M691">
        <v>8.2725000000000007E-2</v>
      </c>
      <c r="N691">
        <v>534</v>
      </c>
      <c r="O691">
        <v>5100</v>
      </c>
      <c r="P691">
        <v>5634</v>
      </c>
    </row>
    <row r="692" spans="1:16" x14ac:dyDescent="0.3">
      <c r="A692">
        <v>691</v>
      </c>
      <c r="B692" s="1">
        <v>41234</v>
      </c>
      <c r="C692">
        <v>4</v>
      </c>
      <c r="D692">
        <v>1</v>
      </c>
      <c r="E692">
        <v>11</v>
      </c>
      <c r="F692">
        <v>0</v>
      </c>
      <c r="G692">
        <v>3</v>
      </c>
      <c r="H692">
        <v>1</v>
      </c>
      <c r="I692">
        <v>1</v>
      </c>
      <c r="J692">
        <v>0.35333300000000001</v>
      </c>
      <c r="K692">
        <v>0.36489199999999999</v>
      </c>
      <c r="L692">
        <v>0.61375000000000002</v>
      </c>
      <c r="M692">
        <v>0.103246</v>
      </c>
      <c r="N692">
        <v>615</v>
      </c>
      <c r="O692">
        <v>4531</v>
      </c>
      <c r="P692">
        <v>5146</v>
      </c>
    </row>
    <row r="693" spans="1:16" x14ac:dyDescent="0.3">
      <c r="A693">
        <v>692</v>
      </c>
      <c r="B693" s="1">
        <v>41235</v>
      </c>
      <c r="C693">
        <v>4</v>
      </c>
      <c r="D693">
        <v>1</v>
      </c>
      <c r="E693">
        <v>11</v>
      </c>
      <c r="F693">
        <v>1</v>
      </c>
      <c r="G693">
        <v>4</v>
      </c>
      <c r="H693">
        <v>0</v>
      </c>
      <c r="I693">
        <v>1</v>
      </c>
      <c r="J693">
        <v>0.34</v>
      </c>
      <c r="K693">
        <v>0.35037099999999999</v>
      </c>
      <c r="L693">
        <v>0.58041699999999996</v>
      </c>
      <c r="M693">
        <v>5.2870800000000003E-2</v>
      </c>
      <c r="N693">
        <v>955</v>
      </c>
      <c r="O693">
        <v>1470</v>
      </c>
      <c r="P693">
        <v>2425</v>
      </c>
    </row>
    <row r="694" spans="1:16" x14ac:dyDescent="0.3">
      <c r="A694">
        <v>693</v>
      </c>
      <c r="B694" s="1">
        <v>41236</v>
      </c>
      <c r="C694">
        <v>4</v>
      </c>
      <c r="D694">
        <v>1</v>
      </c>
      <c r="E694">
        <v>11</v>
      </c>
      <c r="F694">
        <v>0</v>
      </c>
      <c r="G694">
        <v>5</v>
      </c>
      <c r="H694">
        <v>1</v>
      </c>
      <c r="I694">
        <v>1</v>
      </c>
      <c r="J694">
        <v>0.36833300000000002</v>
      </c>
      <c r="K694">
        <v>0.37877899999999998</v>
      </c>
      <c r="L694">
        <v>0.56874999999999998</v>
      </c>
      <c r="M694">
        <v>0.14802100000000001</v>
      </c>
      <c r="N694">
        <v>1603</v>
      </c>
      <c r="O694">
        <v>2307</v>
      </c>
      <c r="P694">
        <v>3910</v>
      </c>
    </row>
    <row r="695" spans="1:16" x14ac:dyDescent="0.3">
      <c r="A695">
        <v>694</v>
      </c>
      <c r="B695" s="1">
        <v>41237</v>
      </c>
      <c r="C695">
        <v>4</v>
      </c>
      <c r="D695">
        <v>1</v>
      </c>
      <c r="E695">
        <v>11</v>
      </c>
      <c r="F695">
        <v>0</v>
      </c>
      <c r="G695">
        <v>6</v>
      </c>
      <c r="H695">
        <v>0</v>
      </c>
      <c r="I695">
        <v>1</v>
      </c>
      <c r="J695">
        <v>0.278333</v>
      </c>
      <c r="K695">
        <v>0.24874199999999999</v>
      </c>
      <c r="L695">
        <v>0.40458300000000003</v>
      </c>
      <c r="M695">
        <v>0.37687100000000001</v>
      </c>
      <c r="N695">
        <v>532</v>
      </c>
      <c r="O695">
        <v>1745</v>
      </c>
      <c r="P695">
        <v>2277</v>
      </c>
    </row>
    <row r="696" spans="1:16" x14ac:dyDescent="0.3">
      <c r="A696">
        <v>695</v>
      </c>
      <c r="B696" s="1">
        <v>41238</v>
      </c>
      <c r="C696">
        <v>4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1</v>
      </c>
      <c r="J696">
        <v>0.245833</v>
      </c>
      <c r="K696">
        <v>0.25758300000000001</v>
      </c>
      <c r="L696">
        <v>0.468333</v>
      </c>
      <c r="M696">
        <v>0.15049999999999999</v>
      </c>
      <c r="N696">
        <v>309</v>
      </c>
      <c r="O696">
        <v>2115</v>
      </c>
      <c r="P696">
        <v>2424</v>
      </c>
    </row>
    <row r="697" spans="1:16" x14ac:dyDescent="0.3">
      <c r="A697">
        <v>696</v>
      </c>
      <c r="B697" s="1">
        <v>41239</v>
      </c>
      <c r="C697">
        <v>4</v>
      </c>
      <c r="D697">
        <v>1</v>
      </c>
      <c r="E697">
        <v>11</v>
      </c>
      <c r="F697">
        <v>0</v>
      </c>
      <c r="G697">
        <v>1</v>
      </c>
      <c r="H697">
        <v>1</v>
      </c>
      <c r="I697">
        <v>1</v>
      </c>
      <c r="J697">
        <v>0.31333299999999997</v>
      </c>
      <c r="K697">
        <v>0.33900400000000003</v>
      </c>
      <c r="L697">
        <v>0.53541700000000003</v>
      </c>
      <c r="M697">
        <v>4.6649999999999997E-2</v>
      </c>
      <c r="N697">
        <v>337</v>
      </c>
      <c r="O697">
        <v>4750</v>
      </c>
      <c r="P697">
        <v>5087</v>
      </c>
    </row>
    <row r="698" spans="1:16" x14ac:dyDescent="0.3">
      <c r="A698">
        <v>697</v>
      </c>
      <c r="B698" s="1">
        <v>41240</v>
      </c>
      <c r="C698">
        <v>4</v>
      </c>
      <c r="D698">
        <v>1</v>
      </c>
      <c r="E698">
        <v>11</v>
      </c>
      <c r="F698">
        <v>0</v>
      </c>
      <c r="G698">
        <v>2</v>
      </c>
      <c r="H698">
        <v>1</v>
      </c>
      <c r="I698">
        <v>2</v>
      </c>
      <c r="J698">
        <v>0.29166700000000001</v>
      </c>
      <c r="K698">
        <v>0.28155799999999997</v>
      </c>
      <c r="L698">
        <v>0.78666700000000001</v>
      </c>
      <c r="M698">
        <v>0.237562</v>
      </c>
      <c r="N698">
        <v>123</v>
      </c>
      <c r="O698">
        <v>3836</v>
      </c>
      <c r="P698">
        <v>3959</v>
      </c>
    </row>
    <row r="699" spans="1:16" x14ac:dyDescent="0.3">
      <c r="A699">
        <v>698</v>
      </c>
      <c r="B699" s="1">
        <v>41241</v>
      </c>
      <c r="C699">
        <v>4</v>
      </c>
      <c r="D699">
        <v>1</v>
      </c>
      <c r="E699">
        <v>11</v>
      </c>
      <c r="F699">
        <v>0</v>
      </c>
      <c r="G699">
        <v>3</v>
      </c>
      <c r="H699">
        <v>1</v>
      </c>
      <c r="I699">
        <v>1</v>
      </c>
      <c r="J699">
        <v>0.29666700000000001</v>
      </c>
      <c r="K699">
        <v>0.28976200000000002</v>
      </c>
      <c r="L699">
        <v>0.50624999999999998</v>
      </c>
      <c r="M699">
        <v>0.21082100000000001</v>
      </c>
      <c r="N699">
        <v>198</v>
      </c>
      <c r="O699">
        <v>5062</v>
      </c>
      <c r="P699">
        <v>5260</v>
      </c>
    </row>
    <row r="700" spans="1:16" x14ac:dyDescent="0.3">
      <c r="A700">
        <v>699</v>
      </c>
      <c r="B700" s="1">
        <v>41242</v>
      </c>
      <c r="C700">
        <v>4</v>
      </c>
      <c r="D700">
        <v>1</v>
      </c>
      <c r="E700">
        <v>11</v>
      </c>
      <c r="F700">
        <v>0</v>
      </c>
      <c r="G700">
        <v>4</v>
      </c>
      <c r="H700">
        <v>1</v>
      </c>
      <c r="I700">
        <v>1</v>
      </c>
      <c r="J700">
        <v>0.28087000000000001</v>
      </c>
      <c r="K700">
        <v>0.29842200000000002</v>
      </c>
      <c r="L700">
        <v>0.55565200000000003</v>
      </c>
      <c r="M700">
        <v>0.115522</v>
      </c>
      <c r="N700">
        <v>243</v>
      </c>
      <c r="O700">
        <v>5080</v>
      </c>
      <c r="P700">
        <v>5323</v>
      </c>
    </row>
    <row r="701" spans="1:16" x14ac:dyDescent="0.3">
      <c r="A701">
        <v>700</v>
      </c>
      <c r="B701" s="1">
        <v>41243</v>
      </c>
      <c r="C701">
        <v>4</v>
      </c>
      <c r="D701">
        <v>1</v>
      </c>
      <c r="E701">
        <v>11</v>
      </c>
      <c r="F701">
        <v>0</v>
      </c>
      <c r="G701">
        <v>5</v>
      </c>
      <c r="H701">
        <v>1</v>
      </c>
      <c r="I701">
        <v>1</v>
      </c>
      <c r="J701">
        <v>0.29833300000000001</v>
      </c>
      <c r="K701">
        <v>0.32386700000000002</v>
      </c>
      <c r="L701">
        <v>0.64958300000000002</v>
      </c>
      <c r="M701">
        <v>5.8470800000000003E-2</v>
      </c>
      <c r="N701">
        <v>362</v>
      </c>
      <c r="O701">
        <v>5306</v>
      </c>
      <c r="P701">
        <v>5668</v>
      </c>
    </row>
    <row r="702" spans="1:16" x14ac:dyDescent="0.3">
      <c r="A702">
        <v>701</v>
      </c>
      <c r="B702" s="1">
        <v>41244</v>
      </c>
      <c r="C702">
        <v>4</v>
      </c>
      <c r="D702">
        <v>1</v>
      </c>
      <c r="E702">
        <v>12</v>
      </c>
      <c r="F702">
        <v>0</v>
      </c>
      <c r="G702">
        <v>6</v>
      </c>
      <c r="H702">
        <v>0</v>
      </c>
      <c r="I702">
        <v>2</v>
      </c>
      <c r="J702">
        <v>0.29833300000000001</v>
      </c>
      <c r="K702">
        <v>0.31690400000000002</v>
      </c>
      <c r="L702">
        <v>0.80666700000000002</v>
      </c>
      <c r="M702">
        <v>5.9704199999999999E-2</v>
      </c>
      <c r="N702">
        <v>951</v>
      </c>
      <c r="O702">
        <v>4240</v>
      </c>
      <c r="P702">
        <v>5191</v>
      </c>
    </row>
    <row r="703" spans="1:16" x14ac:dyDescent="0.3">
      <c r="A703">
        <v>702</v>
      </c>
      <c r="B703" s="1">
        <v>41245</v>
      </c>
      <c r="C703">
        <v>4</v>
      </c>
      <c r="D703">
        <v>1</v>
      </c>
      <c r="E703">
        <v>12</v>
      </c>
      <c r="F703">
        <v>0</v>
      </c>
      <c r="G703">
        <v>0</v>
      </c>
      <c r="H703">
        <v>0</v>
      </c>
      <c r="I703">
        <v>2</v>
      </c>
      <c r="J703">
        <v>0.34749999999999998</v>
      </c>
      <c r="K703">
        <v>0.35920800000000003</v>
      </c>
      <c r="L703">
        <v>0.82333299999999998</v>
      </c>
      <c r="M703">
        <v>0.124379</v>
      </c>
      <c r="N703">
        <v>892</v>
      </c>
      <c r="O703">
        <v>3757</v>
      </c>
      <c r="P703">
        <v>4649</v>
      </c>
    </row>
    <row r="704" spans="1:16" x14ac:dyDescent="0.3">
      <c r="A704">
        <v>703</v>
      </c>
      <c r="B704" s="1">
        <v>41246</v>
      </c>
      <c r="C704">
        <v>4</v>
      </c>
      <c r="D704">
        <v>1</v>
      </c>
      <c r="E704">
        <v>12</v>
      </c>
      <c r="F704">
        <v>0</v>
      </c>
      <c r="G704">
        <v>1</v>
      </c>
      <c r="H704">
        <v>1</v>
      </c>
      <c r="I704">
        <v>1</v>
      </c>
      <c r="J704">
        <v>0.45250000000000001</v>
      </c>
      <c r="K704">
        <v>0.45579599999999998</v>
      </c>
      <c r="L704">
        <v>0.76749999999999996</v>
      </c>
      <c r="M704">
        <v>8.2720799999999997E-2</v>
      </c>
      <c r="N704">
        <v>555</v>
      </c>
      <c r="O704">
        <v>5679</v>
      </c>
      <c r="P704">
        <v>6234</v>
      </c>
    </row>
    <row r="705" spans="1:16" x14ac:dyDescent="0.3">
      <c r="A705">
        <v>704</v>
      </c>
      <c r="B705" s="1">
        <v>41247</v>
      </c>
      <c r="C705">
        <v>4</v>
      </c>
      <c r="D705">
        <v>1</v>
      </c>
      <c r="E705">
        <v>12</v>
      </c>
      <c r="F705">
        <v>0</v>
      </c>
      <c r="G705">
        <v>2</v>
      </c>
      <c r="H705">
        <v>1</v>
      </c>
      <c r="I705">
        <v>1</v>
      </c>
      <c r="J705">
        <v>0.47583300000000001</v>
      </c>
      <c r="K705">
        <v>0.46905400000000003</v>
      </c>
      <c r="L705">
        <v>0.73375000000000001</v>
      </c>
      <c r="M705">
        <v>0.17412900000000001</v>
      </c>
      <c r="N705">
        <v>551</v>
      </c>
      <c r="O705">
        <v>6055</v>
      </c>
      <c r="P705">
        <v>6606</v>
      </c>
    </row>
    <row r="706" spans="1:16" x14ac:dyDescent="0.3">
      <c r="A706">
        <v>705</v>
      </c>
      <c r="B706" s="1">
        <v>41248</v>
      </c>
      <c r="C706">
        <v>4</v>
      </c>
      <c r="D706">
        <v>1</v>
      </c>
      <c r="E706">
        <v>12</v>
      </c>
      <c r="F706">
        <v>0</v>
      </c>
      <c r="G706">
        <v>3</v>
      </c>
      <c r="H706">
        <v>1</v>
      </c>
      <c r="I706">
        <v>1</v>
      </c>
      <c r="J706">
        <v>0.43833299999999997</v>
      </c>
      <c r="K706">
        <v>0.428012</v>
      </c>
      <c r="L706">
        <v>0.48499999999999999</v>
      </c>
      <c r="M706">
        <v>0.324021</v>
      </c>
      <c r="N706">
        <v>331</v>
      </c>
      <c r="O706">
        <v>5398</v>
      </c>
      <c r="P706">
        <v>5729</v>
      </c>
    </row>
    <row r="707" spans="1:16" x14ac:dyDescent="0.3">
      <c r="A707">
        <v>706</v>
      </c>
      <c r="B707" s="1">
        <v>41249</v>
      </c>
      <c r="C707">
        <v>4</v>
      </c>
      <c r="D707">
        <v>1</v>
      </c>
      <c r="E707">
        <v>12</v>
      </c>
      <c r="F707">
        <v>0</v>
      </c>
      <c r="G707">
        <v>4</v>
      </c>
      <c r="H707">
        <v>1</v>
      </c>
      <c r="I707">
        <v>1</v>
      </c>
      <c r="J707">
        <v>0.25583299999999998</v>
      </c>
      <c r="K707">
        <v>0.25820399999999999</v>
      </c>
      <c r="L707">
        <v>0.50875000000000004</v>
      </c>
      <c r="M707">
        <v>0.17475399999999999</v>
      </c>
      <c r="N707">
        <v>340</v>
      </c>
      <c r="O707">
        <v>5035</v>
      </c>
      <c r="P707">
        <v>5375</v>
      </c>
    </row>
    <row r="708" spans="1:16" x14ac:dyDescent="0.3">
      <c r="A708">
        <v>707</v>
      </c>
      <c r="B708" s="1">
        <v>41250</v>
      </c>
      <c r="C708">
        <v>4</v>
      </c>
      <c r="D708">
        <v>1</v>
      </c>
      <c r="E708">
        <v>12</v>
      </c>
      <c r="F708">
        <v>0</v>
      </c>
      <c r="G708">
        <v>5</v>
      </c>
      <c r="H708">
        <v>1</v>
      </c>
      <c r="I708">
        <v>2</v>
      </c>
      <c r="J708">
        <v>0.32083299999999998</v>
      </c>
      <c r="K708">
        <v>0.32195800000000002</v>
      </c>
      <c r="L708">
        <v>0.76416700000000004</v>
      </c>
      <c r="M708">
        <v>0.13059999999999999</v>
      </c>
      <c r="N708">
        <v>349</v>
      </c>
      <c r="O708">
        <v>4659</v>
      </c>
      <c r="P708">
        <v>5008</v>
      </c>
    </row>
    <row r="709" spans="1:16" x14ac:dyDescent="0.3">
      <c r="A709">
        <v>708</v>
      </c>
      <c r="B709" s="1">
        <v>41251</v>
      </c>
      <c r="C709">
        <v>4</v>
      </c>
      <c r="D709">
        <v>1</v>
      </c>
      <c r="E709">
        <v>12</v>
      </c>
      <c r="F709">
        <v>0</v>
      </c>
      <c r="G709">
        <v>6</v>
      </c>
      <c r="H709">
        <v>0</v>
      </c>
      <c r="I709">
        <v>2</v>
      </c>
      <c r="J709">
        <v>0.38166699999999998</v>
      </c>
      <c r="K709">
        <v>0.38950800000000002</v>
      </c>
      <c r="L709">
        <v>0.91125</v>
      </c>
      <c r="M709">
        <v>0.101379</v>
      </c>
      <c r="N709">
        <v>1153</v>
      </c>
      <c r="O709">
        <v>4429</v>
      </c>
      <c r="P709">
        <v>5582</v>
      </c>
    </row>
    <row r="710" spans="1:16" x14ac:dyDescent="0.3">
      <c r="A710">
        <v>709</v>
      </c>
      <c r="B710" s="1">
        <v>41252</v>
      </c>
      <c r="C710">
        <v>4</v>
      </c>
      <c r="D710">
        <v>1</v>
      </c>
      <c r="E710">
        <v>12</v>
      </c>
      <c r="F710">
        <v>0</v>
      </c>
      <c r="G710">
        <v>0</v>
      </c>
      <c r="H710">
        <v>0</v>
      </c>
      <c r="I710">
        <v>2</v>
      </c>
      <c r="J710">
        <v>0.38416699999999998</v>
      </c>
      <c r="K710">
        <v>0.39014599999999999</v>
      </c>
      <c r="L710">
        <v>0.90541700000000003</v>
      </c>
      <c r="M710">
        <v>0.157975</v>
      </c>
      <c r="N710">
        <v>441</v>
      </c>
      <c r="O710">
        <v>2787</v>
      </c>
      <c r="P710">
        <v>3228</v>
      </c>
    </row>
    <row r="711" spans="1:16" x14ac:dyDescent="0.3">
      <c r="A711">
        <v>710</v>
      </c>
      <c r="B711" s="1">
        <v>41253</v>
      </c>
      <c r="C711">
        <v>4</v>
      </c>
      <c r="D711">
        <v>1</v>
      </c>
      <c r="E711">
        <v>12</v>
      </c>
      <c r="F711">
        <v>0</v>
      </c>
      <c r="G711">
        <v>1</v>
      </c>
      <c r="H711">
        <v>1</v>
      </c>
      <c r="I711">
        <v>2</v>
      </c>
      <c r="J711">
        <v>0.43583300000000003</v>
      </c>
      <c r="K711">
        <v>0.43557499999999999</v>
      </c>
      <c r="L711">
        <v>0.92500000000000004</v>
      </c>
      <c r="M711">
        <v>0.190308</v>
      </c>
      <c r="N711">
        <v>329</v>
      </c>
      <c r="O711">
        <v>4841</v>
      </c>
      <c r="P711">
        <v>5170</v>
      </c>
    </row>
    <row r="712" spans="1:16" x14ac:dyDescent="0.3">
      <c r="A712">
        <v>711</v>
      </c>
      <c r="B712" s="1">
        <v>41254</v>
      </c>
      <c r="C712">
        <v>4</v>
      </c>
      <c r="D712">
        <v>1</v>
      </c>
      <c r="E712">
        <v>12</v>
      </c>
      <c r="F712">
        <v>0</v>
      </c>
      <c r="G712">
        <v>2</v>
      </c>
      <c r="H712">
        <v>1</v>
      </c>
      <c r="I712">
        <v>2</v>
      </c>
      <c r="J712">
        <v>0.35333300000000001</v>
      </c>
      <c r="K712">
        <v>0.33836300000000002</v>
      </c>
      <c r="L712">
        <v>0.59666699999999995</v>
      </c>
      <c r="M712">
        <v>0.29603699999999999</v>
      </c>
      <c r="N712">
        <v>282</v>
      </c>
      <c r="O712">
        <v>5219</v>
      </c>
      <c r="P712">
        <v>5501</v>
      </c>
    </row>
    <row r="713" spans="1:16" x14ac:dyDescent="0.3">
      <c r="A713">
        <v>712</v>
      </c>
      <c r="B713" s="1">
        <v>41255</v>
      </c>
      <c r="C713">
        <v>4</v>
      </c>
      <c r="D713">
        <v>1</v>
      </c>
      <c r="E713">
        <v>12</v>
      </c>
      <c r="F713">
        <v>0</v>
      </c>
      <c r="G713">
        <v>3</v>
      </c>
      <c r="H713">
        <v>1</v>
      </c>
      <c r="I713">
        <v>2</v>
      </c>
      <c r="J713">
        <v>0.29749999999999999</v>
      </c>
      <c r="K713">
        <v>0.29733799999999999</v>
      </c>
      <c r="L713">
        <v>0.53833299999999995</v>
      </c>
      <c r="M713">
        <v>0.162937</v>
      </c>
      <c r="N713">
        <v>310</v>
      </c>
      <c r="O713">
        <v>5009</v>
      </c>
      <c r="P713">
        <v>5319</v>
      </c>
    </row>
    <row r="714" spans="1:16" x14ac:dyDescent="0.3">
      <c r="A714">
        <v>713</v>
      </c>
      <c r="B714" s="1">
        <v>41256</v>
      </c>
      <c r="C714">
        <v>4</v>
      </c>
      <c r="D714">
        <v>1</v>
      </c>
      <c r="E714">
        <v>12</v>
      </c>
      <c r="F714">
        <v>0</v>
      </c>
      <c r="G714">
        <v>4</v>
      </c>
      <c r="H714">
        <v>1</v>
      </c>
      <c r="I714">
        <v>1</v>
      </c>
      <c r="J714">
        <v>0.29583300000000001</v>
      </c>
      <c r="K714">
        <v>0.29418800000000001</v>
      </c>
      <c r="L714">
        <v>0.48583300000000001</v>
      </c>
      <c r="M714">
        <v>0.17412900000000001</v>
      </c>
      <c r="N714">
        <v>425</v>
      </c>
      <c r="O714">
        <v>5107</v>
      </c>
      <c r="P714">
        <v>5532</v>
      </c>
    </row>
    <row r="715" spans="1:16" x14ac:dyDescent="0.3">
      <c r="A715">
        <v>714</v>
      </c>
      <c r="B715" s="1">
        <v>41257</v>
      </c>
      <c r="C715">
        <v>4</v>
      </c>
      <c r="D715">
        <v>1</v>
      </c>
      <c r="E715">
        <v>12</v>
      </c>
      <c r="F715">
        <v>0</v>
      </c>
      <c r="G715">
        <v>5</v>
      </c>
      <c r="H715">
        <v>1</v>
      </c>
      <c r="I715">
        <v>1</v>
      </c>
      <c r="J715">
        <v>0.281667</v>
      </c>
      <c r="K715">
        <v>0.29419200000000001</v>
      </c>
      <c r="L715">
        <v>0.64291699999999996</v>
      </c>
      <c r="M715">
        <v>0.13122900000000001</v>
      </c>
      <c r="N715">
        <v>429</v>
      </c>
      <c r="O715">
        <v>5182</v>
      </c>
      <c r="P715">
        <v>5611</v>
      </c>
    </row>
    <row r="716" spans="1:16" x14ac:dyDescent="0.3">
      <c r="A716">
        <v>715</v>
      </c>
      <c r="B716" s="1">
        <v>41258</v>
      </c>
      <c r="C716">
        <v>4</v>
      </c>
      <c r="D716">
        <v>1</v>
      </c>
      <c r="E716">
        <v>12</v>
      </c>
      <c r="F716">
        <v>0</v>
      </c>
      <c r="G716">
        <v>6</v>
      </c>
      <c r="H716">
        <v>0</v>
      </c>
      <c r="I716">
        <v>1</v>
      </c>
      <c r="J716">
        <v>0.32416699999999998</v>
      </c>
      <c r="K716">
        <v>0.33838299999999999</v>
      </c>
      <c r="L716">
        <v>0.65041700000000002</v>
      </c>
      <c r="M716">
        <v>0.10635</v>
      </c>
      <c r="N716">
        <v>767</v>
      </c>
      <c r="O716">
        <v>4280</v>
      </c>
      <c r="P716">
        <v>5047</v>
      </c>
    </row>
    <row r="717" spans="1:16" x14ac:dyDescent="0.3">
      <c r="A717">
        <v>716</v>
      </c>
      <c r="B717" s="1">
        <v>41259</v>
      </c>
      <c r="C717">
        <v>4</v>
      </c>
      <c r="D717">
        <v>1</v>
      </c>
      <c r="E717">
        <v>12</v>
      </c>
      <c r="F717">
        <v>0</v>
      </c>
      <c r="G717">
        <v>0</v>
      </c>
      <c r="H717">
        <v>0</v>
      </c>
      <c r="I717">
        <v>2</v>
      </c>
      <c r="J717">
        <v>0.36249999999999999</v>
      </c>
      <c r="K717">
        <v>0.36993799999999999</v>
      </c>
      <c r="L717">
        <v>0.83875</v>
      </c>
      <c r="M717">
        <v>0.100742</v>
      </c>
      <c r="N717">
        <v>538</v>
      </c>
      <c r="O717">
        <v>3248</v>
      </c>
      <c r="P717">
        <v>3786</v>
      </c>
    </row>
    <row r="718" spans="1:16" x14ac:dyDescent="0.3">
      <c r="A718">
        <v>717</v>
      </c>
      <c r="B718" s="1">
        <v>41260</v>
      </c>
      <c r="C718">
        <v>4</v>
      </c>
      <c r="D718">
        <v>1</v>
      </c>
      <c r="E718">
        <v>12</v>
      </c>
      <c r="F718">
        <v>0</v>
      </c>
      <c r="G718">
        <v>1</v>
      </c>
      <c r="H718">
        <v>1</v>
      </c>
      <c r="I718">
        <v>2</v>
      </c>
      <c r="J718">
        <v>0.39333299999999999</v>
      </c>
      <c r="K718">
        <v>0.40150000000000002</v>
      </c>
      <c r="L718">
        <v>0.90708299999999997</v>
      </c>
      <c r="M718">
        <v>9.8258300000000007E-2</v>
      </c>
      <c r="N718">
        <v>212</v>
      </c>
      <c r="O718">
        <v>4373</v>
      </c>
      <c r="P718">
        <v>4585</v>
      </c>
    </row>
    <row r="719" spans="1:16" x14ac:dyDescent="0.3">
      <c r="A719">
        <v>718</v>
      </c>
      <c r="B719" s="1">
        <v>41261</v>
      </c>
      <c r="C719">
        <v>4</v>
      </c>
      <c r="D719">
        <v>1</v>
      </c>
      <c r="E719">
        <v>12</v>
      </c>
      <c r="F719">
        <v>0</v>
      </c>
      <c r="G719">
        <v>2</v>
      </c>
      <c r="H719">
        <v>1</v>
      </c>
      <c r="I719">
        <v>1</v>
      </c>
      <c r="J719">
        <v>0.410833</v>
      </c>
      <c r="K719">
        <v>0.40970800000000002</v>
      </c>
      <c r="L719">
        <v>0.66625000000000001</v>
      </c>
      <c r="M719">
        <v>0.22140399999999999</v>
      </c>
      <c r="N719">
        <v>433</v>
      </c>
      <c r="O719">
        <v>5124</v>
      </c>
      <c r="P719">
        <v>5557</v>
      </c>
    </row>
    <row r="720" spans="1:16" x14ac:dyDescent="0.3">
      <c r="A720">
        <v>719</v>
      </c>
      <c r="B720" s="1">
        <v>41262</v>
      </c>
      <c r="C720">
        <v>4</v>
      </c>
      <c r="D720">
        <v>1</v>
      </c>
      <c r="E720">
        <v>12</v>
      </c>
      <c r="F720">
        <v>0</v>
      </c>
      <c r="G720">
        <v>3</v>
      </c>
      <c r="H720">
        <v>1</v>
      </c>
      <c r="I720">
        <v>1</v>
      </c>
      <c r="J720">
        <v>0.33250000000000002</v>
      </c>
      <c r="K720">
        <v>0.34216200000000002</v>
      </c>
      <c r="L720">
        <v>0.625417</v>
      </c>
      <c r="M720">
        <v>0.18409200000000001</v>
      </c>
      <c r="N720">
        <v>333</v>
      </c>
      <c r="O720">
        <v>4934</v>
      </c>
      <c r="P720">
        <v>5267</v>
      </c>
    </row>
    <row r="721" spans="1:16" x14ac:dyDescent="0.3">
      <c r="A721">
        <v>720</v>
      </c>
      <c r="B721" s="1">
        <v>41263</v>
      </c>
      <c r="C721">
        <v>4</v>
      </c>
      <c r="D721">
        <v>1</v>
      </c>
      <c r="E721">
        <v>12</v>
      </c>
      <c r="F721">
        <v>0</v>
      </c>
      <c r="G721">
        <v>4</v>
      </c>
      <c r="H721">
        <v>1</v>
      </c>
      <c r="I721">
        <v>2</v>
      </c>
      <c r="J721">
        <v>0.33</v>
      </c>
      <c r="K721">
        <v>0.33521699999999999</v>
      </c>
      <c r="L721">
        <v>0.66791699999999998</v>
      </c>
      <c r="M721">
        <v>0.132463</v>
      </c>
      <c r="N721">
        <v>314</v>
      </c>
      <c r="O721">
        <v>3814</v>
      </c>
      <c r="P721">
        <v>4128</v>
      </c>
    </row>
    <row r="722" spans="1:16" x14ac:dyDescent="0.3">
      <c r="A722">
        <v>721</v>
      </c>
      <c r="B722" s="1">
        <v>41264</v>
      </c>
      <c r="C722">
        <v>1</v>
      </c>
      <c r="D722">
        <v>1</v>
      </c>
      <c r="E722">
        <v>12</v>
      </c>
      <c r="F722">
        <v>0</v>
      </c>
      <c r="G722">
        <v>5</v>
      </c>
      <c r="H722">
        <v>1</v>
      </c>
      <c r="I722">
        <v>2</v>
      </c>
      <c r="J722">
        <v>0.32666699999999999</v>
      </c>
      <c r="K722">
        <v>0.30176700000000001</v>
      </c>
      <c r="L722">
        <v>0.55666700000000002</v>
      </c>
      <c r="M722">
        <v>0.37438300000000002</v>
      </c>
      <c r="N722">
        <v>221</v>
      </c>
      <c r="O722">
        <v>3402</v>
      </c>
      <c r="P722">
        <v>3623</v>
      </c>
    </row>
    <row r="723" spans="1:16" x14ac:dyDescent="0.3">
      <c r="A723">
        <v>722</v>
      </c>
      <c r="B723" s="1">
        <v>41265</v>
      </c>
      <c r="C723">
        <v>1</v>
      </c>
      <c r="D723">
        <v>1</v>
      </c>
      <c r="E723">
        <v>12</v>
      </c>
      <c r="F723">
        <v>0</v>
      </c>
      <c r="G723">
        <v>6</v>
      </c>
      <c r="H723">
        <v>0</v>
      </c>
      <c r="I723">
        <v>1</v>
      </c>
      <c r="J723">
        <v>0.26583299999999999</v>
      </c>
      <c r="K723">
        <v>0.23611299999999999</v>
      </c>
      <c r="L723">
        <v>0.44124999999999998</v>
      </c>
      <c r="M723">
        <v>0.40734599999999999</v>
      </c>
      <c r="N723">
        <v>205</v>
      </c>
      <c r="O723">
        <v>1544</v>
      </c>
      <c r="P723">
        <v>1749</v>
      </c>
    </row>
    <row r="724" spans="1:16" x14ac:dyDescent="0.3">
      <c r="A724">
        <v>723</v>
      </c>
      <c r="B724" s="1">
        <v>41266</v>
      </c>
      <c r="C724">
        <v>1</v>
      </c>
      <c r="D724">
        <v>1</v>
      </c>
      <c r="E724">
        <v>12</v>
      </c>
      <c r="F724">
        <v>0</v>
      </c>
      <c r="G724">
        <v>0</v>
      </c>
      <c r="H724">
        <v>0</v>
      </c>
      <c r="I724">
        <v>1</v>
      </c>
      <c r="J724">
        <v>0.245833</v>
      </c>
      <c r="K724">
        <v>0.25947100000000001</v>
      </c>
      <c r="L724">
        <v>0.51541700000000001</v>
      </c>
      <c r="M724">
        <v>0.13308300000000001</v>
      </c>
      <c r="N724">
        <v>408</v>
      </c>
      <c r="O724">
        <v>1379</v>
      </c>
      <c r="P724">
        <v>1787</v>
      </c>
    </row>
    <row r="725" spans="1:16" x14ac:dyDescent="0.3">
      <c r="A725">
        <v>724</v>
      </c>
      <c r="B725" s="1">
        <v>41267</v>
      </c>
      <c r="C725">
        <v>1</v>
      </c>
      <c r="D725">
        <v>1</v>
      </c>
      <c r="E725">
        <v>12</v>
      </c>
      <c r="F725">
        <v>0</v>
      </c>
      <c r="G725">
        <v>1</v>
      </c>
      <c r="H725">
        <v>1</v>
      </c>
      <c r="I725">
        <v>2</v>
      </c>
      <c r="J725">
        <v>0.23130400000000001</v>
      </c>
      <c r="K725">
        <v>0.25890000000000002</v>
      </c>
      <c r="L725">
        <v>0.79130400000000001</v>
      </c>
      <c r="M725">
        <v>7.7230400000000005E-2</v>
      </c>
      <c r="N725">
        <v>174</v>
      </c>
      <c r="O725">
        <v>746</v>
      </c>
      <c r="P725">
        <v>920</v>
      </c>
    </row>
    <row r="726" spans="1:16" x14ac:dyDescent="0.3">
      <c r="A726">
        <v>725</v>
      </c>
      <c r="B726" s="1">
        <v>41268</v>
      </c>
      <c r="C726">
        <v>1</v>
      </c>
      <c r="D726">
        <v>1</v>
      </c>
      <c r="E726">
        <v>12</v>
      </c>
      <c r="F726">
        <v>1</v>
      </c>
      <c r="G726">
        <v>2</v>
      </c>
      <c r="H726">
        <v>0</v>
      </c>
      <c r="I726">
        <v>2</v>
      </c>
      <c r="J726">
        <v>0.29130400000000001</v>
      </c>
      <c r="K726">
        <v>0.29446499999999998</v>
      </c>
      <c r="L726">
        <v>0.73478299999999996</v>
      </c>
      <c r="M726">
        <v>0.16872599999999999</v>
      </c>
      <c r="N726">
        <v>440</v>
      </c>
      <c r="O726">
        <v>573</v>
      </c>
      <c r="P726">
        <v>1013</v>
      </c>
    </row>
    <row r="727" spans="1:16" x14ac:dyDescent="0.3">
      <c r="A727">
        <v>726</v>
      </c>
      <c r="B727" s="1">
        <v>41269</v>
      </c>
      <c r="C727">
        <v>1</v>
      </c>
      <c r="D727">
        <v>1</v>
      </c>
      <c r="E727">
        <v>12</v>
      </c>
      <c r="F727">
        <v>0</v>
      </c>
      <c r="G727">
        <v>3</v>
      </c>
      <c r="H727">
        <v>1</v>
      </c>
      <c r="I727">
        <v>3</v>
      </c>
      <c r="J727">
        <v>0.24333299999999999</v>
      </c>
      <c r="K727">
        <v>0.220333</v>
      </c>
      <c r="L727">
        <v>0.82333299999999998</v>
      </c>
      <c r="M727">
        <v>0.31654599999999999</v>
      </c>
      <c r="N727">
        <v>9</v>
      </c>
      <c r="O727">
        <v>432</v>
      </c>
      <c r="P727">
        <v>441</v>
      </c>
    </row>
    <row r="728" spans="1:16" x14ac:dyDescent="0.3">
      <c r="A728">
        <v>727</v>
      </c>
      <c r="B728" s="1">
        <v>41270</v>
      </c>
      <c r="C728">
        <v>1</v>
      </c>
      <c r="D728">
        <v>1</v>
      </c>
      <c r="E728">
        <v>12</v>
      </c>
      <c r="F728">
        <v>0</v>
      </c>
      <c r="G728">
        <v>4</v>
      </c>
      <c r="H728">
        <v>1</v>
      </c>
      <c r="I728">
        <v>2</v>
      </c>
      <c r="J728">
        <v>0.25416699999999998</v>
      </c>
      <c r="K728">
        <v>0.22664200000000001</v>
      </c>
      <c r="L728">
        <v>0.65291699999999997</v>
      </c>
      <c r="M728">
        <v>0.35013300000000003</v>
      </c>
      <c r="N728">
        <v>247</v>
      </c>
      <c r="O728">
        <v>1867</v>
      </c>
      <c r="P728">
        <v>2114</v>
      </c>
    </row>
    <row r="729" spans="1:16" x14ac:dyDescent="0.3">
      <c r="A729">
        <v>728</v>
      </c>
      <c r="B729" s="1">
        <v>41271</v>
      </c>
      <c r="C729">
        <v>1</v>
      </c>
      <c r="D729">
        <v>1</v>
      </c>
      <c r="E729">
        <v>12</v>
      </c>
      <c r="F729">
        <v>0</v>
      </c>
      <c r="G729">
        <v>5</v>
      </c>
      <c r="H729">
        <v>1</v>
      </c>
      <c r="I729">
        <v>2</v>
      </c>
      <c r="J729">
        <v>0.25333299999999997</v>
      </c>
      <c r="K729">
        <v>0.25504599999999999</v>
      </c>
      <c r="L729">
        <v>0.59</v>
      </c>
      <c r="M729">
        <v>0.155471</v>
      </c>
      <c r="N729">
        <v>644</v>
      </c>
      <c r="O729">
        <v>2451</v>
      </c>
      <c r="P729">
        <v>3095</v>
      </c>
    </row>
    <row r="730" spans="1:16" x14ac:dyDescent="0.3">
      <c r="A730">
        <v>729</v>
      </c>
      <c r="B730" s="1">
        <v>41272</v>
      </c>
      <c r="C730">
        <v>1</v>
      </c>
      <c r="D730">
        <v>1</v>
      </c>
      <c r="E730">
        <v>12</v>
      </c>
      <c r="F730">
        <v>0</v>
      </c>
      <c r="G730">
        <v>6</v>
      </c>
      <c r="H730">
        <v>0</v>
      </c>
      <c r="I730">
        <v>2</v>
      </c>
      <c r="J730">
        <v>0.25333299999999997</v>
      </c>
      <c r="K730">
        <v>0.2424</v>
      </c>
      <c r="L730">
        <v>0.75291699999999995</v>
      </c>
      <c r="M730">
        <v>0.12438299999999999</v>
      </c>
      <c r="N730">
        <v>159</v>
      </c>
      <c r="O730">
        <v>1182</v>
      </c>
      <c r="P730">
        <v>1341</v>
      </c>
    </row>
    <row r="731" spans="1:16" x14ac:dyDescent="0.3">
      <c r="A731">
        <v>730</v>
      </c>
      <c r="B731" s="1">
        <v>41273</v>
      </c>
      <c r="C731">
        <v>1</v>
      </c>
      <c r="D731">
        <v>1</v>
      </c>
      <c r="E731">
        <v>12</v>
      </c>
      <c r="F731">
        <v>0</v>
      </c>
      <c r="G731">
        <v>0</v>
      </c>
      <c r="H731">
        <v>0</v>
      </c>
      <c r="I731">
        <v>1</v>
      </c>
      <c r="J731">
        <v>0.25583299999999998</v>
      </c>
      <c r="K731">
        <v>0.23169999999999999</v>
      </c>
      <c r="L731">
        <v>0.48333300000000001</v>
      </c>
      <c r="M731">
        <v>0.35075400000000001</v>
      </c>
      <c r="N731">
        <v>364</v>
      </c>
      <c r="O731">
        <v>1432</v>
      </c>
      <c r="P731">
        <v>1796</v>
      </c>
    </row>
    <row r="732" spans="1:16" x14ac:dyDescent="0.3">
      <c r="A732">
        <v>731</v>
      </c>
      <c r="B732" s="1">
        <v>41274</v>
      </c>
      <c r="C732">
        <v>1</v>
      </c>
      <c r="D732">
        <v>1</v>
      </c>
      <c r="E732">
        <v>12</v>
      </c>
      <c r="F732">
        <v>0</v>
      </c>
      <c r="G732">
        <v>1</v>
      </c>
      <c r="H732">
        <v>1</v>
      </c>
      <c r="I732">
        <v>2</v>
      </c>
      <c r="J732">
        <v>0.215833</v>
      </c>
      <c r="K732">
        <v>0.22348699999999999</v>
      </c>
      <c r="L732">
        <v>0.57750000000000001</v>
      </c>
      <c r="M732">
        <v>0.15484600000000001</v>
      </c>
      <c r="N732">
        <v>439</v>
      </c>
      <c r="O732">
        <v>2290</v>
      </c>
      <c r="P732">
        <v>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S Sreehari</cp:lastModifiedBy>
  <dcterms:created xsi:type="dcterms:W3CDTF">2026-10-24T10:47:19Z</dcterms:created>
  <dcterms:modified xsi:type="dcterms:W3CDTF">2026-10-24T17:07:40Z</dcterms:modified>
</cp:coreProperties>
</file>